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u/Downloads/"/>
    </mc:Choice>
  </mc:AlternateContent>
  <xr:revisionPtr revIDLastSave="0" documentId="8_{10B8C256-1907-3F4F-BE40-44D8C78E6F4A}" xr6:coauthVersionLast="47" xr6:coauthVersionMax="47" xr10:uidLastSave="{00000000-0000-0000-0000-000000000000}"/>
  <bookViews>
    <workbookView xWindow="15200" yWindow="780" windowWidth="20800" windowHeight="22600" xr2:uid="{CF1C4961-CA9F-5C42-BA49-B92A805BE0A0}"/>
  </bookViews>
  <sheets>
    <sheet name="Hub_SLA_Data" sheetId="1" r:id="rId1"/>
    <sheet name="Pivot_SLA_Hub" sheetId="6" r:id="rId2"/>
    <sheet name="Pivot_Carrier_Breaches" sheetId="7" r:id="rId3"/>
    <sheet name="Pivot_VIP_Trend" sheetId="8" r:id="rId4"/>
    <sheet name="Scorecard" sheetId="9" r:id="rId5"/>
  </sheets>
  <definedNames>
    <definedName name="_xlchart.v1.0" hidden="1">Scorecard!$A$5:$A$10</definedName>
    <definedName name="_xlchart.v1.1" hidden="1">Scorecard!$B$4</definedName>
    <definedName name="_xlchart.v1.2" hidden="1">Scorecard!$B$5:$B$10</definedName>
    <definedName name="_xlchart.v2.3" hidden="1">Scorecard!$A$5:$A$10</definedName>
    <definedName name="_xlchart.v2.4" hidden="1">Scorecard!$B$4</definedName>
    <definedName name="_xlchart.v2.5" hidden="1">Scorecard!$B$5:$B$10</definedName>
  </definedNames>
  <calcPr calcId="191029"/>
  <pivotCaches>
    <pivotCache cacheId="2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B2" i="9"/>
  <c r="A2" i="9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2" i="1"/>
  <c r="N42" i="1"/>
  <c r="N52" i="1"/>
  <c r="N62" i="1"/>
  <c r="N72" i="1"/>
  <c r="N82" i="1"/>
  <c r="N92" i="1"/>
  <c r="N102" i="1"/>
  <c r="N152" i="1"/>
  <c r="N162" i="1"/>
  <c r="N172" i="1"/>
  <c r="N182" i="1"/>
  <c r="N192" i="1"/>
  <c r="N202" i="1"/>
  <c r="N262" i="1"/>
  <c r="N272" i="1"/>
  <c r="N282" i="1"/>
  <c r="N292" i="1"/>
  <c r="N302" i="1"/>
  <c r="N362" i="1"/>
  <c r="N372" i="1"/>
  <c r="N382" i="1"/>
  <c r="N392" i="1"/>
  <c r="N40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2" i="1"/>
  <c r="N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2" i="1"/>
</calcChain>
</file>

<file path=xl/sharedStrings.xml><?xml version="1.0" encoding="utf-8"?>
<sst xmlns="http://schemas.openxmlformats.org/spreadsheetml/2006/main" count="3000" uniqueCount="482">
  <si>
    <t>Shipment ID</t>
  </si>
  <si>
    <t>Order Date</t>
  </si>
  <si>
    <t>Hub</t>
  </si>
  <si>
    <t>Customer</t>
  </si>
  <si>
    <t>Customer Type</t>
  </si>
  <si>
    <t>Carrier</t>
  </si>
  <si>
    <t>Service Level</t>
  </si>
  <si>
    <t>Promised Delivery Date</t>
  </si>
  <si>
    <t>Actual Delivery Date</t>
  </si>
  <si>
    <t>Status</t>
  </si>
  <si>
    <t>Units</t>
  </si>
  <si>
    <t>SHP-100098</t>
  </si>
  <si>
    <t>Dallas</t>
  </si>
  <si>
    <t>RegionalGrocer Co</t>
  </si>
  <si>
    <t>Standard</t>
  </si>
  <si>
    <t>Summit Carriers</t>
  </si>
  <si>
    <t>Express</t>
  </si>
  <si>
    <t>Delivered</t>
  </si>
  <si>
    <t>SHP-100091</t>
  </si>
  <si>
    <t>Los Angeles</t>
  </si>
  <si>
    <t>BlueSky Distributors</t>
  </si>
  <si>
    <t>Redline Logistics</t>
  </si>
  <si>
    <t>Two-Day</t>
  </si>
  <si>
    <t>SHP-100120</t>
  </si>
  <si>
    <t>Phoenix</t>
  </si>
  <si>
    <t>Target</t>
  </si>
  <si>
    <t>VIP</t>
  </si>
  <si>
    <t>SHP-100287</t>
  </si>
  <si>
    <t>Lowe's</t>
  </si>
  <si>
    <t>Ironclad Hauling</t>
  </si>
  <si>
    <t>SHP-100147</t>
  </si>
  <si>
    <t>Eagle Freight</t>
  </si>
  <si>
    <t>SHP-100306</t>
  </si>
  <si>
    <t>Atlanta</t>
  </si>
  <si>
    <t>Northgate Mfg</t>
  </si>
  <si>
    <t>Patriot Transport</t>
  </si>
  <si>
    <t>SHP-100299</t>
  </si>
  <si>
    <t>Newark</t>
  </si>
  <si>
    <t>SHP-100394</t>
  </si>
  <si>
    <t>Home Depot</t>
  </si>
  <si>
    <t>SHP-100258</t>
  </si>
  <si>
    <t>Sunrise Foods</t>
  </si>
  <si>
    <t>Late</t>
  </si>
  <si>
    <t>SHP-100024</t>
  </si>
  <si>
    <t>Coca-Cola</t>
  </si>
  <si>
    <t>SHP-100216</t>
  </si>
  <si>
    <t>Coastal Retail</t>
  </si>
  <si>
    <t>SHP-100366</t>
  </si>
  <si>
    <t>Chicago</t>
  </si>
  <si>
    <t>Walmart</t>
  </si>
  <si>
    <t>SHP-100174</t>
  </si>
  <si>
    <t>SHP-100075</t>
  </si>
  <si>
    <t>SHP-100213</t>
  </si>
  <si>
    <t>SHP-100363</t>
  </si>
  <si>
    <t>Apex Supplies</t>
  </si>
  <si>
    <t>SHP-100149</t>
  </si>
  <si>
    <t>SHP-100242</t>
  </si>
  <si>
    <t>SHP-100119</t>
  </si>
  <si>
    <t>SHP-100283</t>
  </si>
  <si>
    <t>SHP-100333</t>
  </si>
  <si>
    <t>SHP-100181</t>
  </si>
  <si>
    <t>SHP-100111</t>
  </si>
  <si>
    <t>SHP-100381</t>
  </si>
  <si>
    <t>SHP-100045</t>
  </si>
  <si>
    <t>SHP-100037</t>
  </si>
  <si>
    <t>SHP-100056</t>
  </si>
  <si>
    <t>SHP-100316</t>
  </si>
  <si>
    <t>MidwestParts LLC</t>
  </si>
  <si>
    <t>SHP-100007</t>
  </si>
  <si>
    <t>SHP-100028</t>
  </si>
  <si>
    <t>SHP-100199</t>
  </si>
  <si>
    <t>SHP-100261</t>
  </si>
  <si>
    <t>SHP-100259</t>
  </si>
  <si>
    <t>SHP-100118</t>
  </si>
  <si>
    <t>SHP-100307</t>
  </si>
  <si>
    <t>Velocity Lines</t>
  </si>
  <si>
    <t>SHP-100014</t>
  </si>
  <si>
    <t>SHP-100025</t>
  </si>
  <si>
    <t>SHP-100272</t>
  </si>
  <si>
    <t>SHP-100233</t>
  </si>
  <si>
    <t>SHP-100104</t>
  </si>
  <si>
    <t>SHP-100246</t>
  </si>
  <si>
    <t>SHP-100163</t>
  </si>
  <si>
    <t>SHP-100310</t>
  </si>
  <si>
    <t>SHP-100240</t>
  </si>
  <si>
    <t>SHP-100243</t>
  </si>
  <si>
    <t>SHP-100176</t>
  </si>
  <si>
    <t>SHP-100356</t>
  </si>
  <si>
    <t>SHP-100327</t>
  </si>
  <si>
    <t>SHP-100343</t>
  </si>
  <si>
    <t>SHP-100326</t>
  </si>
  <si>
    <t>SHP-100389</t>
  </si>
  <si>
    <t>SHP-100146</t>
  </si>
  <si>
    <t>SHP-100244</t>
  </si>
  <si>
    <t>SHP-100009</t>
  </si>
  <si>
    <t>SHP-100409</t>
  </si>
  <si>
    <t>SHP-100184</t>
  </si>
  <si>
    <t>SHP-100064</t>
  </si>
  <si>
    <t>SHP-100105</t>
  </si>
  <si>
    <t>SHP-100169</t>
  </si>
  <si>
    <t>SHP-100339</t>
  </si>
  <si>
    <t>SHP-100178</t>
  </si>
  <si>
    <t>SHP-100347</t>
  </si>
  <si>
    <t>SHP-100102</t>
  </si>
  <si>
    <t>SHP-100197</t>
  </si>
  <si>
    <t>SHP-100062</t>
  </si>
  <si>
    <t>SHP-100396</t>
  </si>
  <si>
    <t>SHP-100400</t>
  </si>
  <si>
    <t>SHP-100114</t>
  </si>
  <si>
    <t>SHP-100315</t>
  </si>
  <si>
    <t>SHP-100205</t>
  </si>
  <si>
    <t>SHP-100040</t>
  </si>
  <si>
    <t>SHP-100263</t>
  </si>
  <si>
    <t>SHP-100280</t>
  </si>
  <si>
    <t>SHP-100361</t>
  </si>
  <si>
    <t>SHP-100223</t>
  </si>
  <si>
    <t>SHP-100344</t>
  </si>
  <si>
    <t>SHP-100048</t>
  </si>
  <si>
    <t>SHP-100187</t>
  </si>
  <si>
    <t>SHP-100029</t>
  </si>
  <si>
    <t>SHP-100190</t>
  </si>
  <si>
    <t>SHP-100180</t>
  </si>
  <si>
    <t>SHP-100372</t>
  </si>
  <si>
    <t>SHP-100217</t>
  </si>
  <si>
    <t>SHP-100161</t>
  </si>
  <si>
    <t>SHP-100268</t>
  </si>
  <si>
    <t>SHP-100016</t>
  </si>
  <si>
    <t>SHP-100082</t>
  </si>
  <si>
    <t>SHP-100383</t>
  </si>
  <si>
    <t>SHP-100318</t>
  </si>
  <si>
    <t>SHP-100399</t>
  </si>
  <si>
    <t>SHP-100292</t>
  </si>
  <si>
    <t>SHP-100416</t>
  </si>
  <si>
    <t>SHP-100387</t>
  </si>
  <si>
    <t>SHP-100206</t>
  </si>
  <si>
    <t>SHP-100395</t>
  </si>
  <si>
    <t>SHP-100059</t>
  </si>
  <si>
    <t>SHP-100099</t>
  </si>
  <si>
    <t>SHP-100398</t>
  </si>
  <si>
    <t>SHP-100021</t>
  </si>
  <si>
    <t>SHP-100225</t>
  </si>
  <si>
    <t>SHP-100142</t>
  </si>
  <si>
    <t>SHP-100401</t>
  </si>
  <si>
    <t>SHP-100289</t>
  </si>
  <si>
    <t>SHP-100377</t>
  </si>
  <si>
    <t>SHP-100308</t>
  </si>
  <si>
    <t>SHP-100376</t>
  </si>
  <si>
    <t>SHP-100314</t>
  </si>
  <si>
    <t>SHP-100352</t>
  </si>
  <si>
    <t>SHP-100182</t>
  </si>
  <si>
    <t>SHP-100129</t>
  </si>
  <si>
    <t>SHP-100201</t>
  </si>
  <si>
    <t>SHP-100254</t>
  </si>
  <si>
    <t>SHP-100136</t>
  </si>
  <si>
    <t>SHP-100313</t>
  </si>
  <si>
    <t>SHP-100322</t>
  </si>
  <si>
    <t>SHP-100374</t>
  </si>
  <si>
    <t>SHP-100235</t>
  </si>
  <si>
    <t>SHP-100411</t>
  </si>
  <si>
    <t>SHP-100153</t>
  </si>
  <si>
    <t>SHP-100004</t>
  </si>
  <si>
    <t>SHP-100049</t>
  </si>
  <si>
    <t>SHP-100266</t>
  </si>
  <si>
    <t>SHP-100281</t>
  </si>
  <si>
    <t>SHP-100249</t>
  </si>
  <si>
    <t>SHP-100418</t>
  </si>
  <si>
    <t>SHP-100334</t>
  </si>
  <si>
    <t>SHP-100133</t>
  </si>
  <si>
    <t>SHP-100325</t>
  </si>
  <si>
    <t>SHP-100360</t>
  </si>
  <si>
    <t>SHP-100402</t>
  </si>
  <si>
    <t>SHP-100054</t>
  </si>
  <si>
    <t>SHP-100241</t>
  </si>
  <si>
    <t>SHP-100135</t>
  </si>
  <si>
    <t>SHP-100414</t>
  </si>
  <si>
    <t>SHP-100303</t>
  </si>
  <si>
    <t>SHP-100183</t>
  </si>
  <si>
    <t>SHP-100355</t>
  </si>
  <si>
    <t>SHP-100342</t>
  </si>
  <si>
    <t>SHP-100036</t>
  </si>
  <si>
    <t>SHP-100096</t>
  </si>
  <si>
    <t>SHP-100237</t>
  </si>
  <si>
    <t>SHP-100368</t>
  </si>
  <si>
    <t>SHP-100286</t>
  </si>
  <si>
    <t>SHP-100331</t>
  </si>
  <si>
    <t>SHP-100034</t>
  </si>
  <si>
    <t>SHP-100406</t>
  </si>
  <si>
    <t>SHP-100227</t>
  </si>
  <si>
    <t>SHP-100080</t>
  </si>
  <si>
    <t>SHP-100210</t>
  </si>
  <si>
    <t>SHP-100144</t>
  </si>
  <si>
    <t>SHP-100057</t>
  </si>
  <si>
    <t>SHP-100038</t>
  </si>
  <si>
    <t>SHP-100297</t>
  </si>
  <si>
    <t>SHP-100403</t>
  </si>
  <si>
    <t>SHP-100278</t>
  </si>
  <si>
    <t>SHP-100090</t>
  </si>
  <si>
    <t>SHP-100392</t>
  </si>
  <si>
    <t>SHP-100032</t>
  </si>
  <si>
    <t>SHP-100379</t>
  </si>
  <si>
    <t>SHP-100247</t>
  </si>
  <si>
    <t>SHP-100362</t>
  </si>
  <si>
    <t>SHP-100173</t>
  </si>
  <si>
    <t>SHP-100214</t>
  </si>
  <si>
    <t>SHP-100093</t>
  </si>
  <si>
    <t>SHP-100107</t>
  </si>
  <si>
    <t>SHP-100323</t>
  </si>
  <si>
    <t>SHP-100167</t>
  </si>
  <si>
    <t>SHP-100419</t>
  </si>
  <si>
    <t>SHP-100132</t>
  </si>
  <si>
    <t>SHP-100208</t>
  </si>
  <si>
    <t>SHP-100141</t>
  </si>
  <si>
    <t>SHP-100397</t>
  </si>
  <si>
    <t>SHP-100335</t>
  </si>
  <si>
    <t>SHP-100052</t>
  </si>
  <si>
    <t>SHP-100338</t>
  </si>
  <si>
    <t>SHP-100413</t>
  </si>
  <si>
    <t>SHP-100092</t>
  </si>
  <si>
    <t>SHP-100020</t>
  </si>
  <si>
    <t>Exception</t>
  </si>
  <si>
    <t>SHP-100407</t>
  </si>
  <si>
    <t>SHP-100219</t>
  </si>
  <si>
    <t>SHP-100139</t>
  </si>
  <si>
    <t>SHP-100291</t>
  </si>
  <si>
    <t>SHP-100126</t>
  </si>
  <si>
    <t>SHP-100084</t>
  </si>
  <si>
    <t>SHP-100382</t>
  </si>
  <si>
    <t>SHP-100324</t>
  </si>
  <si>
    <t>SHP-100145</t>
  </si>
  <si>
    <t>SHP-100251</t>
  </si>
  <si>
    <t>SHP-100274</t>
  </si>
  <si>
    <t>SHP-100044</t>
  </si>
  <si>
    <t>SHP-100290</t>
  </si>
  <si>
    <t>SHP-100386</t>
  </si>
  <si>
    <t>SHP-100212</t>
  </si>
  <si>
    <t>SHP-100341</t>
  </si>
  <si>
    <t>SHP-100011</t>
  </si>
  <si>
    <t>SHP-100276</t>
  </si>
  <si>
    <t>SHP-100336</t>
  </si>
  <si>
    <t>SHP-100354</t>
  </si>
  <si>
    <t>SHP-100000</t>
  </si>
  <si>
    <t>SHP-100003</t>
  </si>
  <si>
    <t>SHP-100069</t>
  </si>
  <si>
    <t>SHP-100123</t>
  </si>
  <si>
    <t>SHP-100171</t>
  </si>
  <si>
    <t>SHP-100405</t>
  </si>
  <si>
    <t>SHP-100097</t>
  </si>
  <si>
    <t>SHP-100070</t>
  </si>
  <si>
    <t>SHP-100137</t>
  </si>
  <si>
    <t>SHP-100284</t>
  </si>
  <si>
    <t>SHP-100277</t>
  </si>
  <si>
    <t>SHP-100256</t>
  </si>
  <si>
    <t>SHP-100058</t>
  </si>
  <si>
    <t>SHP-100275</t>
  </si>
  <si>
    <t>SHP-100039</t>
  </si>
  <si>
    <t>SHP-100357</t>
  </si>
  <si>
    <t>SHP-100193</t>
  </si>
  <si>
    <t>SHP-100018</t>
  </si>
  <si>
    <t>SHP-100151</t>
  </si>
  <si>
    <t>SHP-100124</t>
  </si>
  <si>
    <t>SHP-100110</t>
  </si>
  <si>
    <t>SHP-100304</t>
  </si>
  <si>
    <t>SHP-100095</t>
  </si>
  <si>
    <t>SHP-100175</t>
  </si>
  <si>
    <t>SHP-100202</t>
  </si>
  <si>
    <t>SHP-100109</t>
  </si>
  <si>
    <t>SHP-100364</t>
  </si>
  <si>
    <t>SHP-100063</t>
  </si>
  <si>
    <t>SHP-100321</t>
  </si>
  <si>
    <t>SHP-100116</t>
  </si>
  <si>
    <t>SHP-100257</t>
  </si>
  <si>
    <t>SHP-100353</t>
  </si>
  <si>
    <t>SHP-100055</t>
  </si>
  <si>
    <t>SHP-100035</t>
  </si>
  <si>
    <t>SHP-100404</t>
  </si>
  <si>
    <t>SHP-100226</t>
  </si>
  <si>
    <t>SHP-100282</t>
  </si>
  <si>
    <t>SHP-100061</t>
  </si>
  <si>
    <t>SHP-100196</t>
  </si>
  <si>
    <t>SHP-100309</t>
  </si>
  <si>
    <t>SHP-100231</t>
  </si>
  <si>
    <t>SHP-100186</t>
  </si>
  <si>
    <t>SHP-100192</t>
  </si>
  <si>
    <t>SHP-100158</t>
  </si>
  <si>
    <t>SHP-100351</t>
  </si>
  <si>
    <t>SHP-100340</t>
  </si>
  <si>
    <t>SHP-100224</t>
  </si>
  <si>
    <t>SHP-100250</t>
  </si>
  <si>
    <t>SHP-100204</t>
  </si>
  <si>
    <t>SHP-100188</t>
  </si>
  <si>
    <t>SHP-100245</t>
  </si>
  <si>
    <t>SHP-100053</t>
  </si>
  <si>
    <t>SHP-100005</t>
  </si>
  <si>
    <t>SHP-100125</t>
  </si>
  <si>
    <t>SHP-100094</t>
  </si>
  <si>
    <t>SHP-100300</t>
  </si>
  <si>
    <t>SHP-100320</t>
  </si>
  <si>
    <t>SHP-100143</t>
  </si>
  <si>
    <t>SHP-100041</t>
  </si>
  <si>
    <t>SHP-100228</t>
  </si>
  <si>
    <t>SHP-100134</t>
  </si>
  <si>
    <t>SHP-100390</t>
  </si>
  <si>
    <t>SHP-100152</t>
  </si>
  <si>
    <t>SHP-100023</t>
  </si>
  <si>
    <t>SHP-100154</t>
  </si>
  <si>
    <t>SHP-100302</t>
  </si>
  <si>
    <t>SHP-100078</t>
  </si>
  <si>
    <t>SHP-100273</t>
  </si>
  <si>
    <t>SHP-100177</t>
  </si>
  <si>
    <t>SHP-100051</t>
  </si>
  <si>
    <t>SHP-100270</t>
  </si>
  <si>
    <t>SHP-100348</t>
  </si>
  <si>
    <t>SHP-100127</t>
  </si>
  <si>
    <t>SHP-100222</t>
  </si>
  <si>
    <t>SHP-100408</t>
  </si>
  <si>
    <t>SHP-100071</t>
  </si>
  <si>
    <t>SHP-100200</t>
  </si>
  <si>
    <t>SHP-100015</t>
  </si>
  <si>
    <t>SHP-100412</t>
  </si>
  <si>
    <t>SHP-100319</t>
  </si>
  <si>
    <t>SHP-100388</t>
  </si>
  <si>
    <t>SHP-100140</t>
  </si>
  <si>
    <t>SHP-100130</t>
  </si>
  <si>
    <t>SHP-100288</t>
  </si>
  <si>
    <t>SHP-100101</t>
  </si>
  <si>
    <t>SHP-100332</t>
  </si>
  <si>
    <t>SHP-100301</t>
  </si>
  <si>
    <t>SHP-100115</t>
  </si>
  <si>
    <t>SHP-100312</t>
  </si>
  <si>
    <t>SHP-100027</t>
  </si>
  <si>
    <t>SHP-100050</t>
  </si>
  <si>
    <t>SHP-100220</t>
  </si>
  <si>
    <t>SHP-100271</t>
  </si>
  <si>
    <t>SHP-100022</t>
  </si>
  <si>
    <t>SHP-100384</t>
  </si>
  <si>
    <t>SHP-100013</t>
  </si>
  <si>
    <t>SHP-100046</t>
  </si>
  <si>
    <t>SHP-100138</t>
  </si>
  <si>
    <t>SHP-100168</t>
  </si>
  <si>
    <t>SHP-100345</t>
  </si>
  <si>
    <t>SHP-100349</t>
  </si>
  <si>
    <t>SHP-100017</t>
  </si>
  <si>
    <t>SHP-100260</t>
  </si>
  <si>
    <t>SHP-100166</t>
  </si>
  <si>
    <t>SHP-100330</t>
  </si>
  <si>
    <t>SHP-100230</t>
  </si>
  <si>
    <t>SHP-100164</t>
  </si>
  <si>
    <t>SHP-100209</t>
  </si>
  <si>
    <t>SHP-100365</t>
  </si>
  <si>
    <t>SHP-100207</t>
  </si>
  <si>
    <t>SHP-100179</t>
  </si>
  <si>
    <t>SHP-100232</t>
  </si>
  <si>
    <t>SHP-100234</t>
  </si>
  <si>
    <t>SHP-100194</t>
  </si>
  <si>
    <t>SHP-100238</t>
  </si>
  <si>
    <t>SHP-100239</t>
  </si>
  <si>
    <t>SHP-100262</t>
  </si>
  <si>
    <t>SHP-100033</t>
  </si>
  <si>
    <t>SHP-100391</t>
  </si>
  <si>
    <t>SHP-100122</t>
  </si>
  <si>
    <t>SHP-100285</t>
  </si>
  <si>
    <t>SHP-100218</t>
  </si>
  <si>
    <t>SHP-100253</t>
  </si>
  <si>
    <t>SHP-100305</t>
  </si>
  <si>
    <t>SHP-100156</t>
  </si>
  <si>
    <t>SHP-100012</t>
  </si>
  <si>
    <t>SHP-100008</t>
  </si>
  <si>
    <t>SHP-100030</t>
  </si>
  <si>
    <t>SHP-100195</t>
  </si>
  <si>
    <t>SHP-100072</t>
  </si>
  <si>
    <t>SHP-100117</t>
  </si>
  <si>
    <t>SHP-100150</t>
  </si>
  <si>
    <t>SHP-100077</t>
  </si>
  <si>
    <t>SHP-100294</t>
  </si>
  <si>
    <t>SHP-100215</t>
  </si>
  <si>
    <t>SHP-100106</t>
  </si>
  <si>
    <t>SHP-100293</t>
  </si>
  <si>
    <t>SHP-100358</t>
  </si>
  <si>
    <t>SHP-100328</t>
  </si>
  <si>
    <t>SHP-100100</t>
  </si>
  <si>
    <t>SHP-100172</t>
  </si>
  <si>
    <t>SHP-100317</t>
  </si>
  <si>
    <t>SHP-100026</t>
  </si>
  <si>
    <t>SHP-100086</t>
  </si>
  <si>
    <t>SHP-100371</t>
  </si>
  <si>
    <t>SHP-100378</t>
  </si>
  <si>
    <t>SHP-100131</t>
  </si>
  <si>
    <t>SHP-100375</t>
  </si>
  <si>
    <t>SHP-100191</t>
  </si>
  <si>
    <t>SHP-100229</t>
  </si>
  <si>
    <t>SHP-100065</t>
  </si>
  <si>
    <t>SHP-100311</t>
  </si>
  <si>
    <t>SHP-100121</t>
  </si>
  <si>
    <t>SHP-100380</t>
  </si>
  <si>
    <t>SHP-100350</t>
  </si>
  <si>
    <t>SHP-100221</t>
  </si>
  <si>
    <t>SHP-100162</t>
  </si>
  <si>
    <t>SHP-100410</t>
  </si>
  <si>
    <t>SHP-100296</t>
  </si>
  <si>
    <t>SHP-100298</t>
  </si>
  <si>
    <t>SHP-100264</t>
  </si>
  <si>
    <t>SHP-100189</t>
  </si>
  <si>
    <t>SHP-100415</t>
  </si>
  <si>
    <t>SHP-100265</t>
  </si>
  <si>
    <t>SHP-100103</t>
  </si>
  <si>
    <t>SHP-100066</t>
  </si>
  <si>
    <t>SHP-100087</t>
  </si>
  <si>
    <t>SHP-100198</t>
  </si>
  <si>
    <t>SHP-100113</t>
  </si>
  <si>
    <t>SHP-100042</t>
  </si>
  <si>
    <t>SHP-100019</t>
  </si>
  <si>
    <t>SHP-100329</t>
  </si>
  <si>
    <t>SHP-100295</t>
  </si>
  <si>
    <t>SHP-100067</t>
  </si>
  <si>
    <t>SHP-100203</t>
  </si>
  <si>
    <t>SHP-100236</t>
  </si>
  <si>
    <t>SHP-100076</t>
  </si>
  <si>
    <t>SHP-100267</t>
  </si>
  <si>
    <t>SHP-100085</t>
  </si>
  <si>
    <t>SHP-100385</t>
  </si>
  <si>
    <t>SHP-100359</t>
  </si>
  <si>
    <t>SHP-100031</t>
  </si>
  <si>
    <t>SHP-100079</t>
  </si>
  <si>
    <t>SHP-100108</t>
  </si>
  <si>
    <t>SHP-100155</t>
  </si>
  <si>
    <t>SHP-100252</t>
  </si>
  <si>
    <t>SHP-100074</t>
  </si>
  <si>
    <t>SHP-100159</t>
  </si>
  <si>
    <t>SHP-100060</t>
  </si>
  <si>
    <t>SHP-100211</t>
  </si>
  <si>
    <t>SHP-100043</t>
  </si>
  <si>
    <t>SHP-100346</t>
  </si>
  <si>
    <t>SHP-100047</t>
  </si>
  <si>
    <t>SHP-100068</t>
  </si>
  <si>
    <t>SHP-100006</t>
  </si>
  <si>
    <t>SHP-100367</t>
  </si>
  <si>
    <t>SHP-100248</t>
  </si>
  <si>
    <t>SHP-100255</t>
  </si>
  <si>
    <t>SHP-100002</t>
  </si>
  <si>
    <t>SHP-100170</t>
  </si>
  <si>
    <t>SHP-100010</t>
  </si>
  <si>
    <t>SHP-100089</t>
  </si>
  <si>
    <t>SHP-100157</t>
  </si>
  <si>
    <t>SHP-100081</t>
  </si>
  <si>
    <t>SHP-100393</t>
  </si>
  <si>
    <t>SHP-100083</t>
  </si>
  <si>
    <t>SHP-100417</t>
  </si>
  <si>
    <t>SHP-100073</t>
  </si>
  <si>
    <t>SHP-100112</t>
  </si>
  <si>
    <t>SHP-100185</t>
  </si>
  <si>
    <t>SHP-100370</t>
  </si>
  <si>
    <t>SHP-100165</t>
  </si>
  <si>
    <t>SHP-100148</t>
  </si>
  <si>
    <t>SHP-100269</t>
  </si>
  <si>
    <t>SHP-100001</t>
  </si>
  <si>
    <t>SHP-100279</t>
  </si>
  <si>
    <t>SHP-100088</t>
  </si>
  <si>
    <t>SHP-100160</t>
  </si>
  <si>
    <t>SHP-100373</t>
  </si>
  <si>
    <t>SHP-100337</t>
  </si>
  <si>
    <t>SHP-100369</t>
  </si>
  <si>
    <t>SHP-100128</t>
  </si>
  <si>
    <t>Days Late</t>
  </si>
  <si>
    <t>On-Time?</t>
  </si>
  <si>
    <t>Met Flag</t>
  </si>
  <si>
    <t>Escalation Risk</t>
  </si>
  <si>
    <t>Row Labels</t>
  </si>
  <si>
    <t>Grand Total</t>
  </si>
  <si>
    <t>Sum of Met Flag</t>
  </si>
  <si>
    <t>Average of Met Flag</t>
  </si>
  <si>
    <t>Count of Met Flag</t>
  </si>
  <si>
    <t>Apr</t>
  </si>
  <si>
    <t>May</t>
  </si>
  <si>
    <t>Jun</t>
  </si>
  <si>
    <t>Column Labels</t>
  </si>
  <si>
    <t>Breached</t>
  </si>
  <si>
    <t>Worst Performing Hub</t>
  </si>
  <si>
    <t>Total Shipments</t>
  </si>
  <si>
    <t>VIP Breaches</t>
  </si>
  <si>
    <t>Overall SLA Met %</t>
  </si>
  <si>
    <t>SLA Met %</t>
  </si>
  <si>
    <t>Phoenix (84%)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</si>
</sst>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3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9" fontId="0" fillId="0" borderId="19" xfId="0" applyNumberFormat="1" applyBorder="1"/>
    <xf numFmtId="0" fontId="0" fillId="0" borderId="13" xfId="0" applyBorder="1"/>
    <xf numFmtId="9" fontId="0" fillId="0" borderId="15" xfId="0" applyNumberFormat="1" applyBorder="1"/>
    <xf numFmtId="0" fontId="18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Hub SLA Performance — Phoenix Trailing All Others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Scorecard!$B$4</c:f>
              <c:strCache>
                <c:ptCount val="1"/>
                <c:pt idx="0">
                  <c:v>SLA Met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Scorecard!$A$5:$A$10</c:f>
              <c:strCache>
                <c:ptCount val="6"/>
                <c:pt idx="0">
                  <c:v>Los Angeles</c:v>
                </c:pt>
                <c:pt idx="1">
                  <c:v>Dallas</c:v>
                </c:pt>
                <c:pt idx="2">
                  <c:v>Atlanta</c:v>
                </c:pt>
                <c:pt idx="3">
                  <c:v>Chicago</c:v>
                </c:pt>
                <c:pt idx="4">
                  <c:v>Newark</c:v>
                </c:pt>
                <c:pt idx="5">
                  <c:v>Phoenix</c:v>
                </c:pt>
              </c:strCache>
            </c:strRef>
          </c:cat>
          <c:val>
            <c:numRef>
              <c:f>Scorecard!$B$5:$B$10</c:f>
              <c:numCache>
                <c:formatCode>0%</c:formatCode>
                <c:ptCount val="6"/>
                <c:pt idx="0">
                  <c:v>0.95</c:v>
                </c:pt>
                <c:pt idx="1">
                  <c:v>0.91</c:v>
                </c:pt>
                <c:pt idx="2">
                  <c:v>0.9</c:v>
                </c:pt>
                <c:pt idx="3">
                  <c:v>0.97</c:v>
                </c:pt>
                <c:pt idx="4">
                  <c:v>0.85</c:v>
                </c:pt>
                <c:pt idx="5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D-6542-BF70-11C3C2B44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995967"/>
        <c:axId val="1879994623"/>
      </c:barChart>
      <c:catAx>
        <c:axId val="187999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94623"/>
        <c:crosses val="autoZero"/>
        <c:auto val="1"/>
        <c:lblAlgn val="ctr"/>
        <c:lblOffset val="100"/>
        <c:noMultiLvlLbl val="0"/>
      </c:catAx>
      <c:valAx>
        <c:axId val="187999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9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11</xdr:row>
      <xdr:rowOff>127000</xdr:rowOff>
    </xdr:from>
    <xdr:to>
      <xdr:col>3</xdr:col>
      <xdr:colOff>1339850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C242A-073B-315B-3DC7-DFB674F22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190500</xdr:colOff>
      <xdr:row>26</xdr:row>
      <xdr:rowOff>101600</xdr:rowOff>
    </xdr:from>
    <xdr:to>
      <xdr:col>6</xdr:col>
      <xdr:colOff>190500</xdr:colOff>
      <xdr:row>49</xdr:row>
      <xdr:rowOff>66754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4D881-95A9-D4FA-6BB4-7382393A6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5422900"/>
          <a:ext cx="6667500" cy="471495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a Rajaraman" refreshedDate="46190.654485648149" createdVersion="8" refreshedVersion="8" minRefreshableVersion="3" recordCount="420" xr:uid="{84166F19-C033-EE49-AC2A-345BDD5323FA}">
  <cacheSource type="worksheet">
    <worksheetSource name="tblShipments"/>
  </cacheSource>
  <cacheFields count="17">
    <cacheField name="Shipment ID" numFmtId="0">
      <sharedItems/>
    </cacheField>
    <cacheField name="Order Date" numFmtId="14">
      <sharedItems containsSemiMixedTypes="0" containsNonDate="0" containsDate="1" containsString="0" minDate="2026-04-02T00:00:00" maxDate="2026-06-16T00:00:00" count="75"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</sharedItems>
      <fieldGroup par="16"/>
    </cacheField>
    <cacheField name="Hub" numFmtId="0">
      <sharedItems count="6">
        <s v="Dallas"/>
        <s v="Los Angeles"/>
        <s v="Phoenix"/>
        <s v="Atlanta"/>
        <s v="Newark"/>
        <s v="Chicago"/>
      </sharedItems>
    </cacheField>
    <cacheField name="Customer" numFmtId="0">
      <sharedItems/>
    </cacheField>
    <cacheField name="Customer Type" numFmtId="0">
      <sharedItems count="2">
        <s v="Standard"/>
        <s v="VIP"/>
      </sharedItems>
    </cacheField>
    <cacheField name="Carrier" numFmtId="0">
      <sharedItems count="6">
        <s v="Summit Carriers"/>
        <s v="Redline Logistics"/>
        <s v="Ironclad Hauling"/>
        <s v="Eagle Freight"/>
        <s v="Patriot Transport"/>
        <s v="Velocity Lines"/>
      </sharedItems>
    </cacheField>
    <cacheField name="Service Level" numFmtId="0">
      <sharedItems/>
    </cacheField>
    <cacheField name="Promised Delivery Date" numFmtId="14">
      <sharedItems containsSemiMixedTypes="0" containsNonDate="0" containsDate="1" containsString="0" minDate="2026-04-03T00:00:00" maxDate="2026-06-19T00:00:00"/>
    </cacheField>
    <cacheField name="Actual Delivery Date" numFmtId="14">
      <sharedItems containsSemiMixedTypes="0" containsNonDate="0" containsDate="1" containsString="0" minDate="2026-04-03T00:00:00" maxDate="2026-06-20T00:00:00"/>
    </cacheField>
    <cacheField name="Status" numFmtId="0">
      <sharedItems/>
    </cacheField>
    <cacheField name="Units" numFmtId="0">
      <sharedItems containsSemiMixedTypes="0" containsString="0" containsNumber="1" containsInteger="1" minValue="1" maxValue="40"/>
    </cacheField>
    <cacheField name="Days Late" numFmtId="1">
      <sharedItems containsSemiMixedTypes="0" containsString="0" containsNumber="1" containsInteger="1" minValue="-1" maxValue="4"/>
    </cacheField>
    <cacheField name="On-Time?" numFmtId="0">
      <sharedItems count="2">
        <s v="Met"/>
        <s v="Breached"/>
      </sharedItems>
    </cacheField>
    <cacheField name="Met Flag" numFmtId="0">
      <sharedItems containsSemiMixedTypes="0" containsString="0" containsNumber="1" containsInteger="1" minValue="0" maxValue="1"/>
    </cacheField>
    <cacheField name="Escalation Risk" numFmtId="0">
      <sharedItems/>
    </cacheField>
    <cacheField name="Days (Order Date)" numFmtId="0" databaseField="0">
      <fieldGroup base="1">
        <rangePr groupBy="days" startDate="2026-04-02T00:00:00" endDate="2026-06-16T00:00:00"/>
        <groupItems count="368">
          <s v="&lt;4/2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6/26"/>
        </groupItems>
      </fieldGroup>
    </cacheField>
    <cacheField name="Months (Order Date)" numFmtId="0" databaseField="0">
      <fieldGroup base="1">
        <rangePr groupBy="months" startDate="2026-04-02T00:00:00" endDate="2026-06-16T00:00:00"/>
        <groupItems count="14">
          <s v="&lt;4/2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s v="SHP-100098"/>
    <x v="0"/>
    <x v="0"/>
    <s v="RegionalGrocer Co"/>
    <x v="0"/>
    <x v="0"/>
    <s v="Express"/>
    <d v="2026-04-03T00:00:00"/>
    <d v="2026-04-03T00:00:00"/>
    <s v="Delivered"/>
    <n v="3"/>
    <n v="0"/>
    <x v="0"/>
    <n v="1"/>
    <s v="Low"/>
  </r>
  <r>
    <s v="SHP-100091"/>
    <x v="0"/>
    <x v="1"/>
    <s v="BlueSky Distributors"/>
    <x v="0"/>
    <x v="1"/>
    <s v="Two-Day"/>
    <d v="2026-04-04T00:00:00"/>
    <d v="2026-04-04T00:00:00"/>
    <s v="Delivered"/>
    <n v="16"/>
    <n v="0"/>
    <x v="0"/>
    <n v="1"/>
    <s v="Low"/>
  </r>
  <r>
    <s v="SHP-100120"/>
    <x v="0"/>
    <x v="2"/>
    <s v="Target"/>
    <x v="1"/>
    <x v="1"/>
    <s v="Two-Day"/>
    <d v="2026-04-04T00:00:00"/>
    <d v="2026-04-04T00:00:00"/>
    <s v="Delivered"/>
    <n v="8"/>
    <n v="0"/>
    <x v="0"/>
    <n v="1"/>
    <s v="Low"/>
  </r>
  <r>
    <s v="SHP-100287"/>
    <x v="0"/>
    <x v="2"/>
    <s v="Lowe's"/>
    <x v="1"/>
    <x v="2"/>
    <s v="Standard"/>
    <d v="2026-04-05T00:00:00"/>
    <d v="2026-04-05T00:00:00"/>
    <s v="Delivered"/>
    <n v="37"/>
    <n v="0"/>
    <x v="0"/>
    <n v="1"/>
    <s v="Low"/>
  </r>
  <r>
    <s v="SHP-100147"/>
    <x v="0"/>
    <x v="1"/>
    <s v="RegionalGrocer Co"/>
    <x v="0"/>
    <x v="3"/>
    <s v="Express"/>
    <d v="2026-04-03T00:00:00"/>
    <d v="2026-04-03T00:00:00"/>
    <s v="Delivered"/>
    <n v="24"/>
    <n v="0"/>
    <x v="0"/>
    <n v="1"/>
    <s v="Low"/>
  </r>
  <r>
    <s v="SHP-100306"/>
    <x v="1"/>
    <x v="3"/>
    <s v="Northgate Mfg"/>
    <x v="0"/>
    <x v="4"/>
    <s v="Two-Day"/>
    <d v="2026-04-05T00:00:00"/>
    <d v="2026-04-05T00:00:00"/>
    <s v="Delivered"/>
    <n v="39"/>
    <n v="0"/>
    <x v="0"/>
    <n v="1"/>
    <s v="Low"/>
  </r>
  <r>
    <s v="SHP-100299"/>
    <x v="1"/>
    <x v="4"/>
    <s v="Northgate Mfg"/>
    <x v="0"/>
    <x v="1"/>
    <s v="Two-Day"/>
    <d v="2026-04-05T00:00:00"/>
    <d v="2026-04-05T00:00:00"/>
    <s v="Delivered"/>
    <n v="14"/>
    <n v="0"/>
    <x v="0"/>
    <n v="1"/>
    <s v="Low"/>
  </r>
  <r>
    <s v="SHP-100394"/>
    <x v="1"/>
    <x v="3"/>
    <s v="Home Depot"/>
    <x v="1"/>
    <x v="2"/>
    <s v="Express"/>
    <d v="2026-04-04T00:00:00"/>
    <d v="2026-04-04T00:00:00"/>
    <s v="Delivered"/>
    <n v="29"/>
    <n v="0"/>
    <x v="0"/>
    <n v="1"/>
    <s v="Low"/>
  </r>
  <r>
    <s v="SHP-100258"/>
    <x v="1"/>
    <x v="4"/>
    <s v="Sunrise Foods"/>
    <x v="0"/>
    <x v="1"/>
    <s v="Express"/>
    <d v="2026-04-04T00:00:00"/>
    <d v="2026-04-05T00:00:00"/>
    <s v="Late"/>
    <n v="16"/>
    <n v="1"/>
    <x v="1"/>
    <n v="0"/>
    <s v="Medium"/>
  </r>
  <r>
    <s v="SHP-100024"/>
    <x v="1"/>
    <x v="0"/>
    <s v="Coca-Cola"/>
    <x v="1"/>
    <x v="3"/>
    <s v="Express"/>
    <d v="2026-04-04T00:00:00"/>
    <d v="2026-04-04T00:00:00"/>
    <s v="Delivered"/>
    <n v="15"/>
    <n v="0"/>
    <x v="0"/>
    <n v="1"/>
    <s v="Low"/>
  </r>
  <r>
    <s v="SHP-100216"/>
    <x v="1"/>
    <x v="4"/>
    <s v="Coastal Retail"/>
    <x v="0"/>
    <x v="3"/>
    <s v="Standard"/>
    <d v="2026-04-06T00:00:00"/>
    <d v="2026-04-06T00:00:00"/>
    <s v="Delivered"/>
    <n v="36"/>
    <n v="0"/>
    <x v="0"/>
    <n v="1"/>
    <s v="Low"/>
  </r>
  <r>
    <s v="SHP-100366"/>
    <x v="1"/>
    <x v="5"/>
    <s v="Walmart"/>
    <x v="1"/>
    <x v="2"/>
    <s v="Standard"/>
    <d v="2026-04-06T00:00:00"/>
    <d v="2026-04-06T00:00:00"/>
    <s v="Delivered"/>
    <n v="11"/>
    <n v="0"/>
    <x v="0"/>
    <n v="1"/>
    <s v="Low"/>
  </r>
  <r>
    <s v="SHP-100174"/>
    <x v="2"/>
    <x v="1"/>
    <s v="Northgate Mfg"/>
    <x v="0"/>
    <x v="2"/>
    <s v="Two-Day"/>
    <d v="2026-04-06T00:00:00"/>
    <d v="2026-04-06T00:00:00"/>
    <s v="Delivered"/>
    <n v="18"/>
    <n v="0"/>
    <x v="0"/>
    <n v="1"/>
    <s v="Low"/>
  </r>
  <r>
    <s v="SHP-100075"/>
    <x v="2"/>
    <x v="0"/>
    <s v="Lowe's"/>
    <x v="1"/>
    <x v="4"/>
    <s v="Express"/>
    <d v="2026-04-05T00:00:00"/>
    <d v="2026-04-05T00:00:00"/>
    <s v="Delivered"/>
    <n v="26"/>
    <n v="0"/>
    <x v="0"/>
    <n v="1"/>
    <s v="Low"/>
  </r>
  <r>
    <s v="SHP-100213"/>
    <x v="2"/>
    <x v="3"/>
    <s v="Coca-Cola"/>
    <x v="1"/>
    <x v="4"/>
    <s v="Express"/>
    <d v="2026-04-05T00:00:00"/>
    <d v="2026-04-05T00:00:00"/>
    <s v="Delivered"/>
    <n v="24"/>
    <n v="0"/>
    <x v="0"/>
    <n v="1"/>
    <s v="Low"/>
  </r>
  <r>
    <s v="SHP-100363"/>
    <x v="2"/>
    <x v="2"/>
    <s v="Apex Supplies"/>
    <x v="0"/>
    <x v="0"/>
    <s v="Express"/>
    <d v="2026-04-05T00:00:00"/>
    <d v="2026-04-05T00:00:00"/>
    <s v="Delivered"/>
    <n v="6"/>
    <n v="0"/>
    <x v="0"/>
    <n v="1"/>
    <s v="Low"/>
  </r>
  <r>
    <s v="SHP-100149"/>
    <x v="2"/>
    <x v="3"/>
    <s v="Northgate Mfg"/>
    <x v="0"/>
    <x v="0"/>
    <s v="Express"/>
    <d v="2026-04-05T00:00:00"/>
    <d v="2026-04-04T00:00:00"/>
    <s v="Delivered"/>
    <n v="21"/>
    <n v="-1"/>
    <x v="0"/>
    <n v="1"/>
    <s v="Low"/>
  </r>
  <r>
    <s v="SHP-100242"/>
    <x v="2"/>
    <x v="0"/>
    <s v="Target"/>
    <x v="1"/>
    <x v="0"/>
    <s v="Express"/>
    <d v="2026-04-05T00:00:00"/>
    <d v="2026-04-05T00:00:00"/>
    <s v="Delivered"/>
    <n v="30"/>
    <n v="0"/>
    <x v="0"/>
    <n v="1"/>
    <s v="Low"/>
  </r>
  <r>
    <s v="SHP-100119"/>
    <x v="2"/>
    <x v="4"/>
    <s v="BlueSky Distributors"/>
    <x v="0"/>
    <x v="4"/>
    <s v="Standard"/>
    <d v="2026-04-07T00:00:00"/>
    <d v="2026-04-07T00:00:00"/>
    <s v="Delivered"/>
    <n v="16"/>
    <n v="0"/>
    <x v="0"/>
    <n v="1"/>
    <s v="Low"/>
  </r>
  <r>
    <s v="SHP-100283"/>
    <x v="3"/>
    <x v="2"/>
    <s v="Coastal Retail"/>
    <x v="0"/>
    <x v="0"/>
    <s v="Two-Day"/>
    <d v="2026-04-07T00:00:00"/>
    <d v="2026-04-07T00:00:00"/>
    <s v="Delivered"/>
    <n v="12"/>
    <n v="0"/>
    <x v="0"/>
    <n v="1"/>
    <s v="Low"/>
  </r>
  <r>
    <s v="SHP-100333"/>
    <x v="3"/>
    <x v="5"/>
    <s v="Northgate Mfg"/>
    <x v="0"/>
    <x v="3"/>
    <s v="Two-Day"/>
    <d v="2026-04-07T00:00:00"/>
    <d v="2026-04-07T00:00:00"/>
    <s v="Delivered"/>
    <n v="36"/>
    <n v="0"/>
    <x v="0"/>
    <n v="1"/>
    <s v="Low"/>
  </r>
  <r>
    <s v="SHP-100181"/>
    <x v="4"/>
    <x v="4"/>
    <s v="Apex Supplies"/>
    <x v="0"/>
    <x v="2"/>
    <s v="Express"/>
    <d v="2026-04-07T00:00:00"/>
    <d v="2026-04-06T00:00:00"/>
    <s v="Delivered"/>
    <n v="4"/>
    <n v="-1"/>
    <x v="0"/>
    <n v="1"/>
    <s v="Low"/>
  </r>
  <r>
    <s v="SHP-100111"/>
    <x v="4"/>
    <x v="1"/>
    <s v="Sunrise Foods"/>
    <x v="0"/>
    <x v="4"/>
    <s v="Standard"/>
    <d v="2026-04-09T00:00:00"/>
    <d v="2026-04-09T00:00:00"/>
    <s v="Delivered"/>
    <n v="39"/>
    <n v="0"/>
    <x v="0"/>
    <n v="1"/>
    <s v="Low"/>
  </r>
  <r>
    <s v="SHP-100381"/>
    <x v="4"/>
    <x v="5"/>
    <s v="Apex Supplies"/>
    <x v="0"/>
    <x v="1"/>
    <s v="Two-Day"/>
    <d v="2026-04-08T00:00:00"/>
    <d v="2026-04-08T00:00:00"/>
    <s v="Delivered"/>
    <n v="14"/>
    <n v="0"/>
    <x v="0"/>
    <n v="1"/>
    <s v="Low"/>
  </r>
  <r>
    <s v="SHP-100045"/>
    <x v="4"/>
    <x v="3"/>
    <s v="Northgate Mfg"/>
    <x v="0"/>
    <x v="4"/>
    <s v="Express"/>
    <d v="2026-04-07T00:00:00"/>
    <d v="2026-04-09T00:00:00"/>
    <s v="Late"/>
    <n v="17"/>
    <n v="2"/>
    <x v="1"/>
    <n v="0"/>
    <s v="Medium"/>
  </r>
  <r>
    <s v="SHP-100037"/>
    <x v="4"/>
    <x v="3"/>
    <s v="Coastal Retail"/>
    <x v="0"/>
    <x v="0"/>
    <s v="Two-Day"/>
    <d v="2026-04-08T00:00:00"/>
    <d v="2026-04-08T00:00:00"/>
    <s v="Delivered"/>
    <n v="38"/>
    <n v="0"/>
    <x v="0"/>
    <n v="1"/>
    <s v="Low"/>
  </r>
  <r>
    <s v="SHP-100056"/>
    <x v="4"/>
    <x v="4"/>
    <s v="Coastal Retail"/>
    <x v="0"/>
    <x v="0"/>
    <s v="Express"/>
    <d v="2026-04-07T00:00:00"/>
    <d v="2026-04-07T00:00:00"/>
    <s v="Delivered"/>
    <n v="35"/>
    <n v="0"/>
    <x v="0"/>
    <n v="1"/>
    <s v="Low"/>
  </r>
  <r>
    <s v="SHP-100316"/>
    <x v="4"/>
    <x v="5"/>
    <s v="MidwestParts LLC"/>
    <x v="0"/>
    <x v="2"/>
    <s v="Two-Day"/>
    <d v="2026-04-08T00:00:00"/>
    <d v="2026-04-08T00:00:00"/>
    <s v="Delivered"/>
    <n v="38"/>
    <n v="0"/>
    <x v="0"/>
    <n v="1"/>
    <s v="Low"/>
  </r>
  <r>
    <s v="SHP-100007"/>
    <x v="4"/>
    <x v="1"/>
    <s v="Coca-Cola"/>
    <x v="1"/>
    <x v="2"/>
    <s v="Standard"/>
    <d v="2026-04-09T00:00:00"/>
    <d v="2026-04-09T00:00:00"/>
    <s v="Delivered"/>
    <n v="6"/>
    <n v="0"/>
    <x v="0"/>
    <n v="1"/>
    <s v="Low"/>
  </r>
  <r>
    <s v="SHP-100028"/>
    <x v="5"/>
    <x v="5"/>
    <s v="MidwestParts LLC"/>
    <x v="0"/>
    <x v="4"/>
    <s v="Express"/>
    <d v="2026-04-08T00:00:00"/>
    <d v="2026-04-07T00:00:00"/>
    <s v="Delivered"/>
    <n v="7"/>
    <n v="-1"/>
    <x v="0"/>
    <n v="1"/>
    <s v="Low"/>
  </r>
  <r>
    <s v="SHP-100199"/>
    <x v="5"/>
    <x v="4"/>
    <s v="MidwestParts LLC"/>
    <x v="0"/>
    <x v="1"/>
    <s v="Two-Day"/>
    <d v="2026-04-09T00:00:00"/>
    <d v="2026-04-09T00:00:00"/>
    <s v="Delivered"/>
    <n v="5"/>
    <n v="0"/>
    <x v="0"/>
    <n v="1"/>
    <s v="Low"/>
  </r>
  <r>
    <s v="SHP-100261"/>
    <x v="5"/>
    <x v="4"/>
    <s v="RegionalGrocer Co"/>
    <x v="0"/>
    <x v="3"/>
    <s v="Express"/>
    <d v="2026-04-08T00:00:00"/>
    <d v="2026-04-08T00:00:00"/>
    <s v="Delivered"/>
    <n v="36"/>
    <n v="0"/>
    <x v="0"/>
    <n v="1"/>
    <s v="Low"/>
  </r>
  <r>
    <s v="SHP-100259"/>
    <x v="5"/>
    <x v="0"/>
    <s v="Coastal Retail"/>
    <x v="0"/>
    <x v="1"/>
    <s v="Standard"/>
    <d v="2026-04-10T00:00:00"/>
    <d v="2026-04-10T00:00:00"/>
    <s v="Delivered"/>
    <n v="31"/>
    <n v="0"/>
    <x v="0"/>
    <n v="1"/>
    <s v="Low"/>
  </r>
  <r>
    <s v="SHP-100118"/>
    <x v="5"/>
    <x v="1"/>
    <s v="Sunrise Foods"/>
    <x v="0"/>
    <x v="2"/>
    <s v="Express"/>
    <d v="2026-04-08T00:00:00"/>
    <d v="2026-04-08T00:00:00"/>
    <s v="Delivered"/>
    <n v="19"/>
    <n v="0"/>
    <x v="0"/>
    <n v="1"/>
    <s v="Low"/>
  </r>
  <r>
    <s v="SHP-100307"/>
    <x v="5"/>
    <x v="3"/>
    <s v="Sunrise Foods"/>
    <x v="0"/>
    <x v="5"/>
    <s v="Two-Day"/>
    <d v="2026-04-09T00:00:00"/>
    <d v="2026-04-09T00:00:00"/>
    <s v="Delivered"/>
    <n v="29"/>
    <n v="0"/>
    <x v="0"/>
    <n v="1"/>
    <s v="Low"/>
  </r>
  <r>
    <s v="SHP-100014"/>
    <x v="5"/>
    <x v="0"/>
    <s v="Apex Supplies"/>
    <x v="0"/>
    <x v="4"/>
    <s v="Standard"/>
    <d v="2026-04-10T00:00:00"/>
    <d v="2026-04-10T00:00:00"/>
    <s v="Delivered"/>
    <n v="11"/>
    <n v="0"/>
    <x v="0"/>
    <n v="1"/>
    <s v="Low"/>
  </r>
  <r>
    <s v="SHP-100025"/>
    <x v="6"/>
    <x v="3"/>
    <s v="Home Depot"/>
    <x v="1"/>
    <x v="2"/>
    <s v="Two-Day"/>
    <d v="2026-04-10T00:00:00"/>
    <d v="2026-04-09T00:00:00"/>
    <s v="Delivered"/>
    <n v="22"/>
    <n v="-1"/>
    <x v="0"/>
    <n v="1"/>
    <s v="Low"/>
  </r>
  <r>
    <s v="SHP-100272"/>
    <x v="6"/>
    <x v="1"/>
    <s v="Coastal Retail"/>
    <x v="0"/>
    <x v="4"/>
    <s v="Two-Day"/>
    <d v="2026-04-10T00:00:00"/>
    <d v="2026-04-10T00:00:00"/>
    <s v="Delivered"/>
    <n v="36"/>
    <n v="0"/>
    <x v="0"/>
    <n v="1"/>
    <s v="Low"/>
  </r>
  <r>
    <s v="SHP-100233"/>
    <x v="6"/>
    <x v="1"/>
    <s v="MidwestParts LLC"/>
    <x v="0"/>
    <x v="1"/>
    <s v="Two-Day"/>
    <d v="2026-04-10T00:00:00"/>
    <d v="2026-04-12T00:00:00"/>
    <s v="Late"/>
    <n v="11"/>
    <n v="2"/>
    <x v="1"/>
    <n v="0"/>
    <s v="Medium"/>
  </r>
  <r>
    <s v="SHP-100104"/>
    <x v="6"/>
    <x v="1"/>
    <s v="MidwestParts LLC"/>
    <x v="0"/>
    <x v="1"/>
    <s v="Two-Day"/>
    <d v="2026-04-10T00:00:00"/>
    <d v="2026-04-10T00:00:00"/>
    <s v="Delivered"/>
    <n v="14"/>
    <n v="0"/>
    <x v="0"/>
    <n v="1"/>
    <s v="Low"/>
  </r>
  <r>
    <s v="SHP-100246"/>
    <x v="6"/>
    <x v="0"/>
    <s v="Target"/>
    <x v="1"/>
    <x v="4"/>
    <s v="Two-Day"/>
    <d v="2026-04-10T00:00:00"/>
    <d v="2026-04-10T00:00:00"/>
    <s v="Delivered"/>
    <n v="20"/>
    <n v="0"/>
    <x v="0"/>
    <n v="1"/>
    <s v="Low"/>
  </r>
  <r>
    <s v="SHP-100163"/>
    <x v="6"/>
    <x v="5"/>
    <s v="Sunrise Foods"/>
    <x v="0"/>
    <x v="2"/>
    <s v="Standard"/>
    <d v="2026-04-11T00:00:00"/>
    <d v="2026-04-11T00:00:00"/>
    <s v="Delivered"/>
    <n v="28"/>
    <n v="0"/>
    <x v="0"/>
    <n v="1"/>
    <s v="Low"/>
  </r>
  <r>
    <s v="SHP-100310"/>
    <x v="6"/>
    <x v="0"/>
    <s v="MidwestParts LLC"/>
    <x v="0"/>
    <x v="1"/>
    <s v="Express"/>
    <d v="2026-04-09T00:00:00"/>
    <d v="2026-04-09T00:00:00"/>
    <s v="Delivered"/>
    <n v="12"/>
    <n v="0"/>
    <x v="0"/>
    <n v="1"/>
    <s v="Low"/>
  </r>
  <r>
    <s v="SHP-100240"/>
    <x v="7"/>
    <x v="2"/>
    <s v="RegionalGrocer Co"/>
    <x v="0"/>
    <x v="2"/>
    <s v="Express"/>
    <d v="2026-04-10T00:00:00"/>
    <d v="2026-04-10T00:00:00"/>
    <s v="Delivered"/>
    <n v="20"/>
    <n v="0"/>
    <x v="0"/>
    <n v="1"/>
    <s v="Low"/>
  </r>
  <r>
    <s v="SHP-100243"/>
    <x v="7"/>
    <x v="1"/>
    <s v="Target"/>
    <x v="1"/>
    <x v="5"/>
    <s v="Standard"/>
    <d v="2026-04-12T00:00:00"/>
    <d v="2026-04-11T00:00:00"/>
    <s v="Delivered"/>
    <n v="31"/>
    <n v="-1"/>
    <x v="0"/>
    <n v="1"/>
    <s v="Low"/>
  </r>
  <r>
    <s v="SHP-100176"/>
    <x v="7"/>
    <x v="0"/>
    <s v="Coastal Retail"/>
    <x v="0"/>
    <x v="2"/>
    <s v="Express"/>
    <d v="2026-04-10T00:00:00"/>
    <d v="2026-04-10T00:00:00"/>
    <s v="Delivered"/>
    <n v="2"/>
    <n v="0"/>
    <x v="0"/>
    <n v="1"/>
    <s v="Low"/>
  </r>
  <r>
    <s v="SHP-100356"/>
    <x v="7"/>
    <x v="2"/>
    <s v="Coca-Cola"/>
    <x v="1"/>
    <x v="4"/>
    <s v="Express"/>
    <d v="2026-04-10T00:00:00"/>
    <d v="2026-04-10T00:00:00"/>
    <s v="Delivered"/>
    <n v="27"/>
    <n v="0"/>
    <x v="0"/>
    <n v="1"/>
    <s v="Low"/>
  </r>
  <r>
    <s v="SHP-100327"/>
    <x v="7"/>
    <x v="4"/>
    <s v="Target"/>
    <x v="1"/>
    <x v="2"/>
    <s v="Standard"/>
    <d v="2026-04-12T00:00:00"/>
    <d v="2026-04-12T00:00:00"/>
    <s v="Delivered"/>
    <n v="33"/>
    <n v="0"/>
    <x v="0"/>
    <n v="1"/>
    <s v="Low"/>
  </r>
  <r>
    <s v="SHP-100343"/>
    <x v="8"/>
    <x v="1"/>
    <s v="Lowe's"/>
    <x v="1"/>
    <x v="0"/>
    <s v="Two-Day"/>
    <d v="2026-04-12T00:00:00"/>
    <d v="2026-04-12T00:00:00"/>
    <s v="Delivered"/>
    <n v="10"/>
    <n v="0"/>
    <x v="0"/>
    <n v="1"/>
    <s v="Low"/>
  </r>
  <r>
    <s v="SHP-100326"/>
    <x v="8"/>
    <x v="2"/>
    <s v="Walmart"/>
    <x v="1"/>
    <x v="5"/>
    <s v="Standard"/>
    <d v="2026-04-13T00:00:00"/>
    <d v="2026-04-13T00:00:00"/>
    <s v="Delivered"/>
    <n v="1"/>
    <n v="0"/>
    <x v="0"/>
    <n v="1"/>
    <s v="Low"/>
  </r>
  <r>
    <s v="SHP-100389"/>
    <x v="8"/>
    <x v="2"/>
    <s v="MidwestParts LLC"/>
    <x v="0"/>
    <x v="4"/>
    <s v="Express"/>
    <d v="2026-04-11T00:00:00"/>
    <d v="2026-04-11T00:00:00"/>
    <s v="Delivered"/>
    <n v="6"/>
    <n v="0"/>
    <x v="0"/>
    <n v="1"/>
    <s v="Low"/>
  </r>
  <r>
    <s v="SHP-100146"/>
    <x v="8"/>
    <x v="2"/>
    <s v="RegionalGrocer Co"/>
    <x v="0"/>
    <x v="3"/>
    <s v="Express"/>
    <d v="2026-04-11T00:00:00"/>
    <d v="2026-04-10T00:00:00"/>
    <s v="Delivered"/>
    <n v="26"/>
    <n v="-1"/>
    <x v="0"/>
    <n v="1"/>
    <s v="Low"/>
  </r>
  <r>
    <s v="SHP-100244"/>
    <x v="8"/>
    <x v="1"/>
    <s v="MidwestParts LLC"/>
    <x v="0"/>
    <x v="4"/>
    <s v="Two-Day"/>
    <d v="2026-04-12T00:00:00"/>
    <d v="2026-04-12T00:00:00"/>
    <s v="Delivered"/>
    <n v="5"/>
    <n v="0"/>
    <x v="0"/>
    <n v="1"/>
    <s v="Low"/>
  </r>
  <r>
    <s v="SHP-100009"/>
    <x v="8"/>
    <x v="5"/>
    <s v="Coca-Cola"/>
    <x v="1"/>
    <x v="2"/>
    <s v="Express"/>
    <d v="2026-04-11T00:00:00"/>
    <d v="2026-04-11T00:00:00"/>
    <s v="Delivered"/>
    <n v="16"/>
    <n v="0"/>
    <x v="0"/>
    <n v="1"/>
    <s v="Low"/>
  </r>
  <r>
    <s v="SHP-100409"/>
    <x v="8"/>
    <x v="1"/>
    <s v="Northgate Mfg"/>
    <x v="0"/>
    <x v="0"/>
    <s v="Express"/>
    <d v="2026-04-11T00:00:00"/>
    <d v="2026-04-12T00:00:00"/>
    <s v="Late"/>
    <n v="3"/>
    <n v="1"/>
    <x v="1"/>
    <n v="0"/>
    <s v="Medium"/>
  </r>
  <r>
    <s v="SHP-100184"/>
    <x v="8"/>
    <x v="1"/>
    <s v="Apex Supplies"/>
    <x v="0"/>
    <x v="2"/>
    <s v="Express"/>
    <d v="2026-04-11T00:00:00"/>
    <d v="2026-04-11T00:00:00"/>
    <s v="Delivered"/>
    <n v="28"/>
    <n v="0"/>
    <x v="0"/>
    <n v="1"/>
    <s v="Low"/>
  </r>
  <r>
    <s v="SHP-100064"/>
    <x v="8"/>
    <x v="3"/>
    <s v="Coca-Cola"/>
    <x v="1"/>
    <x v="4"/>
    <s v="Two-Day"/>
    <d v="2026-04-12T00:00:00"/>
    <d v="2026-04-12T00:00:00"/>
    <s v="Delivered"/>
    <n v="37"/>
    <n v="0"/>
    <x v="0"/>
    <n v="1"/>
    <s v="Low"/>
  </r>
  <r>
    <s v="SHP-100105"/>
    <x v="9"/>
    <x v="2"/>
    <s v="Coca-Cola"/>
    <x v="1"/>
    <x v="1"/>
    <s v="Two-Day"/>
    <d v="2026-04-13T00:00:00"/>
    <d v="2026-04-14T00:00:00"/>
    <s v="Late"/>
    <n v="1"/>
    <n v="1"/>
    <x v="1"/>
    <n v="0"/>
    <s v="High"/>
  </r>
  <r>
    <s v="SHP-100169"/>
    <x v="9"/>
    <x v="2"/>
    <s v="Sunrise Foods"/>
    <x v="0"/>
    <x v="3"/>
    <s v="Standard"/>
    <d v="2026-04-14T00:00:00"/>
    <d v="2026-04-15T00:00:00"/>
    <s v="Late"/>
    <n v="9"/>
    <n v="1"/>
    <x v="1"/>
    <n v="0"/>
    <s v="Medium"/>
  </r>
  <r>
    <s v="SHP-100339"/>
    <x v="9"/>
    <x v="5"/>
    <s v="MidwestParts LLC"/>
    <x v="0"/>
    <x v="2"/>
    <s v="Standard"/>
    <d v="2026-04-14T00:00:00"/>
    <d v="2026-04-13T00:00:00"/>
    <s v="Delivered"/>
    <n v="4"/>
    <n v="-1"/>
    <x v="0"/>
    <n v="1"/>
    <s v="Low"/>
  </r>
  <r>
    <s v="SHP-100178"/>
    <x v="9"/>
    <x v="5"/>
    <s v="BlueSky Distributors"/>
    <x v="0"/>
    <x v="1"/>
    <s v="Two-Day"/>
    <d v="2026-04-13T00:00:00"/>
    <d v="2026-04-13T00:00:00"/>
    <s v="Delivered"/>
    <n v="40"/>
    <n v="0"/>
    <x v="0"/>
    <n v="1"/>
    <s v="Low"/>
  </r>
  <r>
    <s v="SHP-100347"/>
    <x v="9"/>
    <x v="3"/>
    <s v="Lowe's"/>
    <x v="1"/>
    <x v="4"/>
    <s v="Express"/>
    <d v="2026-04-12T00:00:00"/>
    <d v="2026-04-12T00:00:00"/>
    <s v="Delivered"/>
    <n v="16"/>
    <n v="0"/>
    <x v="0"/>
    <n v="1"/>
    <s v="Low"/>
  </r>
  <r>
    <s v="SHP-100102"/>
    <x v="9"/>
    <x v="0"/>
    <s v="Target"/>
    <x v="1"/>
    <x v="5"/>
    <s v="Express"/>
    <d v="2026-04-12T00:00:00"/>
    <d v="2026-04-12T00:00:00"/>
    <s v="Delivered"/>
    <n v="27"/>
    <n v="0"/>
    <x v="0"/>
    <n v="1"/>
    <s v="Low"/>
  </r>
  <r>
    <s v="SHP-100197"/>
    <x v="9"/>
    <x v="4"/>
    <s v="Home Depot"/>
    <x v="1"/>
    <x v="1"/>
    <s v="Two-Day"/>
    <d v="2026-04-13T00:00:00"/>
    <d v="2026-04-13T00:00:00"/>
    <s v="Delivered"/>
    <n v="16"/>
    <n v="0"/>
    <x v="0"/>
    <n v="1"/>
    <s v="Low"/>
  </r>
  <r>
    <s v="SHP-100062"/>
    <x v="9"/>
    <x v="1"/>
    <s v="Sunrise Foods"/>
    <x v="0"/>
    <x v="2"/>
    <s v="Standard"/>
    <d v="2026-04-14T00:00:00"/>
    <d v="2026-04-14T00:00:00"/>
    <s v="Delivered"/>
    <n v="40"/>
    <n v="0"/>
    <x v="0"/>
    <n v="1"/>
    <s v="Low"/>
  </r>
  <r>
    <s v="SHP-100396"/>
    <x v="9"/>
    <x v="3"/>
    <s v="Northgate Mfg"/>
    <x v="0"/>
    <x v="1"/>
    <s v="Express"/>
    <d v="2026-04-12T00:00:00"/>
    <d v="2026-04-11T00:00:00"/>
    <s v="Delivered"/>
    <n v="11"/>
    <n v="-1"/>
    <x v="0"/>
    <n v="1"/>
    <s v="Low"/>
  </r>
  <r>
    <s v="SHP-100400"/>
    <x v="10"/>
    <x v="4"/>
    <s v="Home Depot"/>
    <x v="1"/>
    <x v="0"/>
    <s v="Express"/>
    <d v="2026-04-13T00:00:00"/>
    <d v="2026-04-13T00:00:00"/>
    <s v="Delivered"/>
    <n v="21"/>
    <n v="0"/>
    <x v="0"/>
    <n v="1"/>
    <s v="Low"/>
  </r>
  <r>
    <s v="SHP-100114"/>
    <x v="10"/>
    <x v="1"/>
    <s v="MidwestParts LLC"/>
    <x v="0"/>
    <x v="2"/>
    <s v="Express"/>
    <d v="2026-04-13T00:00:00"/>
    <d v="2026-04-13T00:00:00"/>
    <s v="Delivered"/>
    <n v="21"/>
    <n v="0"/>
    <x v="0"/>
    <n v="1"/>
    <s v="Low"/>
  </r>
  <r>
    <s v="SHP-100315"/>
    <x v="10"/>
    <x v="2"/>
    <s v="Home Depot"/>
    <x v="1"/>
    <x v="4"/>
    <s v="Express"/>
    <d v="2026-04-13T00:00:00"/>
    <d v="2026-04-13T00:00:00"/>
    <s v="Delivered"/>
    <n v="4"/>
    <n v="0"/>
    <x v="0"/>
    <n v="1"/>
    <s v="Low"/>
  </r>
  <r>
    <s v="SHP-100205"/>
    <x v="11"/>
    <x v="0"/>
    <s v="Target"/>
    <x v="1"/>
    <x v="3"/>
    <s v="Express"/>
    <d v="2026-04-14T00:00:00"/>
    <d v="2026-04-14T00:00:00"/>
    <s v="Delivered"/>
    <n v="34"/>
    <n v="0"/>
    <x v="0"/>
    <n v="1"/>
    <s v="Low"/>
  </r>
  <r>
    <s v="SHP-100040"/>
    <x v="11"/>
    <x v="3"/>
    <s v="Sunrise Foods"/>
    <x v="0"/>
    <x v="5"/>
    <s v="Two-Day"/>
    <d v="2026-04-15T00:00:00"/>
    <d v="2026-04-15T00:00:00"/>
    <s v="Delivered"/>
    <n v="17"/>
    <n v="0"/>
    <x v="0"/>
    <n v="1"/>
    <s v="Low"/>
  </r>
  <r>
    <s v="SHP-100263"/>
    <x v="11"/>
    <x v="2"/>
    <s v="Coastal Retail"/>
    <x v="0"/>
    <x v="3"/>
    <s v="Standard"/>
    <d v="2026-04-16T00:00:00"/>
    <d v="2026-04-16T00:00:00"/>
    <s v="Delivered"/>
    <n v="22"/>
    <n v="0"/>
    <x v="0"/>
    <n v="1"/>
    <s v="Low"/>
  </r>
  <r>
    <s v="SHP-100280"/>
    <x v="11"/>
    <x v="0"/>
    <s v="Northgate Mfg"/>
    <x v="0"/>
    <x v="0"/>
    <s v="Standard"/>
    <d v="2026-04-16T00:00:00"/>
    <d v="2026-04-16T00:00:00"/>
    <s v="Delivered"/>
    <n v="7"/>
    <n v="0"/>
    <x v="0"/>
    <n v="1"/>
    <s v="Low"/>
  </r>
  <r>
    <s v="SHP-100361"/>
    <x v="11"/>
    <x v="5"/>
    <s v="MidwestParts LLC"/>
    <x v="0"/>
    <x v="3"/>
    <s v="Standard"/>
    <d v="2026-04-16T00:00:00"/>
    <d v="2026-04-16T00:00:00"/>
    <s v="Delivered"/>
    <n v="34"/>
    <n v="0"/>
    <x v="0"/>
    <n v="1"/>
    <s v="Low"/>
  </r>
  <r>
    <s v="SHP-100223"/>
    <x v="12"/>
    <x v="5"/>
    <s v="Home Depot"/>
    <x v="1"/>
    <x v="1"/>
    <s v="Standard"/>
    <d v="2026-04-17T00:00:00"/>
    <d v="2026-04-17T00:00:00"/>
    <s v="Delivered"/>
    <n v="22"/>
    <n v="0"/>
    <x v="0"/>
    <n v="1"/>
    <s v="Low"/>
  </r>
  <r>
    <s v="SHP-100344"/>
    <x v="12"/>
    <x v="2"/>
    <s v="MidwestParts LLC"/>
    <x v="0"/>
    <x v="1"/>
    <s v="Express"/>
    <d v="2026-04-15T00:00:00"/>
    <d v="2026-04-18T00:00:00"/>
    <s v="Late"/>
    <n v="18"/>
    <n v="3"/>
    <x v="1"/>
    <n v="0"/>
    <s v="Medium"/>
  </r>
  <r>
    <s v="SHP-100048"/>
    <x v="12"/>
    <x v="5"/>
    <s v="Coca-Cola"/>
    <x v="1"/>
    <x v="2"/>
    <s v="Standard"/>
    <d v="2026-04-17T00:00:00"/>
    <d v="2026-04-17T00:00:00"/>
    <s v="Delivered"/>
    <n v="27"/>
    <n v="0"/>
    <x v="0"/>
    <n v="1"/>
    <s v="Low"/>
  </r>
  <r>
    <s v="SHP-100187"/>
    <x v="12"/>
    <x v="2"/>
    <s v="RegionalGrocer Co"/>
    <x v="0"/>
    <x v="3"/>
    <s v="Express"/>
    <d v="2026-04-15T00:00:00"/>
    <d v="2026-04-15T00:00:00"/>
    <s v="Delivered"/>
    <n v="34"/>
    <n v="0"/>
    <x v="0"/>
    <n v="1"/>
    <s v="Low"/>
  </r>
  <r>
    <s v="SHP-100029"/>
    <x v="12"/>
    <x v="3"/>
    <s v="MidwestParts LLC"/>
    <x v="0"/>
    <x v="2"/>
    <s v="Express"/>
    <d v="2026-04-15T00:00:00"/>
    <d v="2026-04-15T00:00:00"/>
    <s v="Delivered"/>
    <n v="29"/>
    <n v="0"/>
    <x v="0"/>
    <n v="1"/>
    <s v="Low"/>
  </r>
  <r>
    <s v="SHP-100190"/>
    <x v="12"/>
    <x v="2"/>
    <s v="Northgate Mfg"/>
    <x v="0"/>
    <x v="0"/>
    <s v="Standard"/>
    <d v="2026-04-17T00:00:00"/>
    <d v="2026-04-17T00:00:00"/>
    <s v="Delivered"/>
    <n v="39"/>
    <n v="0"/>
    <x v="0"/>
    <n v="1"/>
    <s v="Low"/>
  </r>
  <r>
    <s v="SHP-100180"/>
    <x v="13"/>
    <x v="4"/>
    <s v="Lowe's"/>
    <x v="1"/>
    <x v="0"/>
    <s v="Two-Day"/>
    <d v="2026-04-17T00:00:00"/>
    <d v="2026-04-17T00:00:00"/>
    <s v="Delivered"/>
    <n v="38"/>
    <n v="0"/>
    <x v="0"/>
    <n v="1"/>
    <s v="Low"/>
  </r>
  <r>
    <s v="SHP-100372"/>
    <x v="13"/>
    <x v="4"/>
    <s v="Coastal Retail"/>
    <x v="0"/>
    <x v="4"/>
    <s v="Two-Day"/>
    <d v="2026-04-17T00:00:00"/>
    <d v="2026-04-17T00:00:00"/>
    <s v="Delivered"/>
    <n v="40"/>
    <n v="0"/>
    <x v="0"/>
    <n v="1"/>
    <s v="Low"/>
  </r>
  <r>
    <s v="SHP-100217"/>
    <x v="13"/>
    <x v="2"/>
    <s v="Coastal Retail"/>
    <x v="0"/>
    <x v="5"/>
    <s v="Express"/>
    <d v="2026-04-16T00:00:00"/>
    <d v="2026-04-16T00:00:00"/>
    <s v="Delivered"/>
    <n v="8"/>
    <n v="0"/>
    <x v="0"/>
    <n v="1"/>
    <s v="Low"/>
  </r>
  <r>
    <s v="SHP-100161"/>
    <x v="13"/>
    <x v="0"/>
    <s v="BlueSky Distributors"/>
    <x v="0"/>
    <x v="4"/>
    <s v="Two-Day"/>
    <d v="2026-04-17T00:00:00"/>
    <d v="2026-04-17T00:00:00"/>
    <s v="Delivered"/>
    <n v="24"/>
    <n v="0"/>
    <x v="0"/>
    <n v="1"/>
    <s v="Low"/>
  </r>
  <r>
    <s v="SHP-100268"/>
    <x v="13"/>
    <x v="3"/>
    <s v="RegionalGrocer Co"/>
    <x v="0"/>
    <x v="1"/>
    <s v="Two-Day"/>
    <d v="2026-04-17T00:00:00"/>
    <d v="2026-04-17T00:00:00"/>
    <s v="Delivered"/>
    <n v="2"/>
    <n v="0"/>
    <x v="0"/>
    <n v="1"/>
    <s v="Low"/>
  </r>
  <r>
    <s v="SHP-100016"/>
    <x v="13"/>
    <x v="5"/>
    <s v="Apex Supplies"/>
    <x v="0"/>
    <x v="3"/>
    <s v="Two-Day"/>
    <d v="2026-04-17T00:00:00"/>
    <d v="2026-04-17T00:00:00"/>
    <s v="Delivered"/>
    <n v="18"/>
    <n v="0"/>
    <x v="0"/>
    <n v="1"/>
    <s v="Low"/>
  </r>
  <r>
    <s v="SHP-100082"/>
    <x v="13"/>
    <x v="5"/>
    <s v="Target"/>
    <x v="1"/>
    <x v="5"/>
    <s v="Two-Day"/>
    <d v="2026-04-17T00:00:00"/>
    <d v="2026-04-17T00:00:00"/>
    <s v="Delivered"/>
    <n v="20"/>
    <n v="0"/>
    <x v="0"/>
    <n v="1"/>
    <s v="Low"/>
  </r>
  <r>
    <s v="SHP-100383"/>
    <x v="14"/>
    <x v="5"/>
    <s v="RegionalGrocer Co"/>
    <x v="0"/>
    <x v="3"/>
    <s v="Express"/>
    <d v="2026-04-17T00:00:00"/>
    <d v="2026-04-17T00:00:00"/>
    <s v="Delivered"/>
    <n v="38"/>
    <n v="0"/>
    <x v="0"/>
    <n v="1"/>
    <s v="Low"/>
  </r>
  <r>
    <s v="SHP-100318"/>
    <x v="14"/>
    <x v="3"/>
    <s v="Coca-Cola"/>
    <x v="1"/>
    <x v="0"/>
    <s v="Two-Day"/>
    <d v="2026-04-18T00:00:00"/>
    <d v="2026-04-18T00:00:00"/>
    <s v="Delivered"/>
    <n v="16"/>
    <n v="0"/>
    <x v="0"/>
    <n v="1"/>
    <s v="Low"/>
  </r>
  <r>
    <s v="SHP-100399"/>
    <x v="14"/>
    <x v="3"/>
    <s v="Walmart"/>
    <x v="1"/>
    <x v="2"/>
    <s v="Express"/>
    <d v="2026-04-17T00:00:00"/>
    <d v="2026-04-17T00:00:00"/>
    <s v="Delivered"/>
    <n v="9"/>
    <n v="0"/>
    <x v="0"/>
    <n v="1"/>
    <s v="Low"/>
  </r>
  <r>
    <s v="SHP-100292"/>
    <x v="14"/>
    <x v="2"/>
    <s v="Apex Supplies"/>
    <x v="0"/>
    <x v="2"/>
    <s v="Express"/>
    <d v="2026-04-17T00:00:00"/>
    <d v="2026-04-16T00:00:00"/>
    <s v="Delivered"/>
    <n v="24"/>
    <n v="-1"/>
    <x v="0"/>
    <n v="1"/>
    <s v="Low"/>
  </r>
  <r>
    <s v="SHP-100416"/>
    <x v="14"/>
    <x v="5"/>
    <s v="Target"/>
    <x v="1"/>
    <x v="2"/>
    <s v="Express"/>
    <d v="2026-04-17T00:00:00"/>
    <d v="2026-04-17T00:00:00"/>
    <s v="Delivered"/>
    <n v="28"/>
    <n v="0"/>
    <x v="0"/>
    <n v="1"/>
    <s v="Low"/>
  </r>
  <r>
    <s v="SHP-100387"/>
    <x v="15"/>
    <x v="0"/>
    <s v="MidwestParts LLC"/>
    <x v="0"/>
    <x v="3"/>
    <s v="Express"/>
    <d v="2026-04-18T00:00:00"/>
    <d v="2026-04-18T00:00:00"/>
    <s v="Delivered"/>
    <n v="10"/>
    <n v="0"/>
    <x v="0"/>
    <n v="1"/>
    <s v="Low"/>
  </r>
  <r>
    <s v="SHP-100206"/>
    <x v="15"/>
    <x v="3"/>
    <s v="Northgate Mfg"/>
    <x v="0"/>
    <x v="1"/>
    <s v="Two-Day"/>
    <d v="2026-04-19T00:00:00"/>
    <d v="2026-04-19T00:00:00"/>
    <s v="Delivered"/>
    <n v="12"/>
    <n v="0"/>
    <x v="0"/>
    <n v="1"/>
    <s v="Low"/>
  </r>
  <r>
    <s v="SHP-100395"/>
    <x v="15"/>
    <x v="4"/>
    <s v="Walmart"/>
    <x v="1"/>
    <x v="4"/>
    <s v="Standard"/>
    <d v="2026-04-20T00:00:00"/>
    <d v="2026-04-20T00:00:00"/>
    <s v="Delivered"/>
    <n v="18"/>
    <n v="0"/>
    <x v="0"/>
    <n v="1"/>
    <s v="Low"/>
  </r>
  <r>
    <s v="SHP-100059"/>
    <x v="15"/>
    <x v="4"/>
    <s v="BlueSky Distributors"/>
    <x v="0"/>
    <x v="1"/>
    <s v="Two-Day"/>
    <d v="2026-04-19T00:00:00"/>
    <d v="2026-04-21T00:00:00"/>
    <s v="Late"/>
    <n v="12"/>
    <n v="2"/>
    <x v="1"/>
    <n v="0"/>
    <s v="Medium"/>
  </r>
  <r>
    <s v="SHP-100099"/>
    <x v="15"/>
    <x v="3"/>
    <s v="Apex Supplies"/>
    <x v="0"/>
    <x v="1"/>
    <s v="Two-Day"/>
    <d v="2026-04-19T00:00:00"/>
    <d v="2026-04-19T00:00:00"/>
    <s v="Delivered"/>
    <n v="7"/>
    <n v="0"/>
    <x v="0"/>
    <n v="1"/>
    <s v="Low"/>
  </r>
  <r>
    <s v="SHP-100398"/>
    <x v="15"/>
    <x v="3"/>
    <s v="Coca-Cola"/>
    <x v="1"/>
    <x v="4"/>
    <s v="Standard"/>
    <d v="2026-04-20T00:00:00"/>
    <d v="2026-04-20T00:00:00"/>
    <s v="Delivered"/>
    <n v="29"/>
    <n v="0"/>
    <x v="0"/>
    <n v="1"/>
    <s v="Low"/>
  </r>
  <r>
    <s v="SHP-100021"/>
    <x v="15"/>
    <x v="2"/>
    <s v="Sunrise Foods"/>
    <x v="0"/>
    <x v="3"/>
    <s v="Two-Day"/>
    <d v="2026-04-19T00:00:00"/>
    <d v="2026-04-19T00:00:00"/>
    <s v="Delivered"/>
    <n v="36"/>
    <n v="0"/>
    <x v="0"/>
    <n v="1"/>
    <s v="Low"/>
  </r>
  <r>
    <s v="SHP-100225"/>
    <x v="16"/>
    <x v="2"/>
    <s v="Sunrise Foods"/>
    <x v="0"/>
    <x v="2"/>
    <s v="Standard"/>
    <d v="2026-04-21T00:00:00"/>
    <d v="2026-04-23T00:00:00"/>
    <s v="Late"/>
    <n v="19"/>
    <n v="2"/>
    <x v="1"/>
    <n v="0"/>
    <s v="Medium"/>
  </r>
  <r>
    <s v="SHP-100142"/>
    <x v="16"/>
    <x v="1"/>
    <s v="Lowe's"/>
    <x v="1"/>
    <x v="2"/>
    <s v="Two-Day"/>
    <d v="2026-04-20T00:00:00"/>
    <d v="2026-04-19T00:00:00"/>
    <s v="Delivered"/>
    <n v="3"/>
    <n v="-1"/>
    <x v="0"/>
    <n v="1"/>
    <s v="Low"/>
  </r>
  <r>
    <s v="SHP-100401"/>
    <x v="16"/>
    <x v="5"/>
    <s v="Lowe's"/>
    <x v="1"/>
    <x v="0"/>
    <s v="Express"/>
    <d v="2026-04-19T00:00:00"/>
    <d v="2026-04-19T00:00:00"/>
    <s v="Delivered"/>
    <n v="5"/>
    <n v="0"/>
    <x v="0"/>
    <n v="1"/>
    <s v="Low"/>
  </r>
  <r>
    <s v="SHP-100289"/>
    <x v="16"/>
    <x v="4"/>
    <s v="Northgate Mfg"/>
    <x v="0"/>
    <x v="3"/>
    <s v="Standard"/>
    <d v="2026-04-21T00:00:00"/>
    <d v="2026-04-20T00:00:00"/>
    <s v="Delivered"/>
    <n v="1"/>
    <n v="-1"/>
    <x v="0"/>
    <n v="1"/>
    <s v="Low"/>
  </r>
  <r>
    <s v="SHP-100377"/>
    <x v="16"/>
    <x v="3"/>
    <s v="RegionalGrocer Co"/>
    <x v="0"/>
    <x v="3"/>
    <s v="Express"/>
    <d v="2026-04-19T00:00:00"/>
    <d v="2026-04-19T00:00:00"/>
    <s v="Delivered"/>
    <n v="36"/>
    <n v="0"/>
    <x v="0"/>
    <n v="1"/>
    <s v="Low"/>
  </r>
  <r>
    <s v="SHP-100308"/>
    <x v="16"/>
    <x v="0"/>
    <s v="Apex Supplies"/>
    <x v="0"/>
    <x v="0"/>
    <s v="Standard"/>
    <d v="2026-04-21T00:00:00"/>
    <d v="2026-04-21T00:00:00"/>
    <s v="Delivered"/>
    <n v="37"/>
    <n v="0"/>
    <x v="0"/>
    <n v="1"/>
    <s v="Low"/>
  </r>
  <r>
    <s v="SHP-100376"/>
    <x v="16"/>
    <x v="1"/>
    <s v="Target"/>
    <x v="1"/>
    <x v="4"/>
    <s v="Express"/>
    <d v="2026-04-19T00:00:00"/>
    <d v="2026-04-19T00:00:00"/>
    <s v="Delivered"/>
    <n v="40"/>
    <n v="0"/>
    <x v="0"/>
    <n v="1"/>
    <s v="Low"/>
  </r>
  <r>
    <s v="SHP-100314"/>
    <x v="16"/>
    <x v="4"/>
    <s v="MidwestParts LLC"/>
    <x v="0"/>
    <x v="5"/>
    <s v="Two-Day"/>
    <d v="2026-04-20T00:00:00"/>
    <d v="2026-04-20T00:00:00"/>
    <s v="Delivered"/>
    <n v="22"/>
    <n v="0"/>
    <x v="0"/>
    <n v="1"/>
    <s v="Low"/>
  </r>
  <r>
    <s v="SHP-100352"/>
    <x v="16"/>
    <x v="4"/>
    <s v="RegionalGrocer Co"/>
    <x v="0"/>
    <x v="4"/>
    <s v="Two-Day"/>
    <d v="2026-04-20T00:00:00"/>
    <d v="2026-04-20T00:00:00"/>
    <s v="Delivered"/>
    <n v="13"/>
    <n v="0"/>
    <x v="0"/>
    <n v="1"/>
    <s v="Low"/>
  </r>
  <r>
    <s v="SHP-100182"/>
    <x v="16"/>
    <x v="3"/>
    <s v="Coca-Cola"/>
    <x v="1"/>
    <x v="1"/>
    <s v="Standard"/>
    <d v="2026-04-21T00:00:00"/>
    <d v="2026-04-21T00:00:00"/>
    <s v="Delivered"/>
    <n v="8"/>
    <n v="0"/>
    <x v="0"/>
    <n v="1"/>
    <s v="Low"/>
  </r>
  <r>
    <s v="SHP-100129"/>
    <x v="17"/>
    <x v="3"/>
    <s v="Apex Supplies"/>
    <x v="0"/>
    <x v="4"/>
    <s v="Standard"/>
    <d v="2026-04-22T00:00:00"/>
    <d v="2026-04-22T00:00:00"/>
    <s v="Delivered"/>
    <n v="10"/>
    <n v="0"/>
    <x v="0"/>
    <n v="1"/>
    <s v="Low"/>
  </r>
  <r>
    <s v="SHP-100201"/>
    <x v="17"/>
    <x v="0"/>
    <s v="RegionalGrocer Co"/>
    <x v="0"/>
    <x v="3"/>
    <s v="Two-Day"/>
    <d v="2026-04-21T00:00:00"/>
    <d v="2026-04-21T00:00:00"/>
    <s v="Delivered"/>
    <n v="26"/>
    <n v="0"/>
    <x v="0"/>
    <n v="1"/>
    <s v="Low"/>
  </r>
  <r>
    <s v="SHP-100254"/>
    <x v="17"/>
    <x v="4"/>
    <s v="Coca-Cola"/>
    <x v="1"/>
    <x v="1"/>
    <s v="Two-Day"/>
    <d v="2026-04-21T00:00:00"/>
    <d v="2026-04-21T00:00:00"/>
    <s v="Delivered"/>
    <n v="23"/>
    <n v="0"/>
    <x v="0"/>
    <n v="1"/>
    <s v="Low"/>
  </r>
  <r>
    <s v="SHP-100136"/>
    <x v="17"/>
    <x v="2"/>
    <s v="Coca-Cola"/>
    <x v="1"/>
    <x v="4"/>
    <s v="Two-Day"/>
    <d v="2026-04-21T00:00:00"/>
    <d v="2026-04-21T00:00:00"/>
    <s v="Delivered"/>
    <n v="30"/>
    <n v="0"/>
    <x v="0"/>
    <n v="1"/>
    <s v="Low"/>
  </r>
  <r>
    <s v="SHP-100313"/>
    <x v="17"/>
    <x v="4"/>
    <s v="Coca-Cola"/>
    <x v="1"/>
    <x v="0"/>
    <s v="Express"/>
    <d v="2026-04-20T00:00:00"/>
    <d v="2026-04-19T00:00:00"/>
    <s v="Delivered"/>
    <n v="36"/>
    <n v="-1"/>
    <x v="0"/>
    <n v="1"/>
    <s v="Low"/>
  </r>
  <r>
    <s v="SHP-100322"/>
    <x v="17"/>
    <x v="3"/>
    <s v="Coastal Retail"/>
    <x v="0"/>
    <x v="0"/>
    <s v="Two-Day"/>
    <d v="2026-04-21T00:00:00"/>
    <d v="2026-04-23T00:00:00"/>
    <s v="Late"/>
    <n v="27"/>
    <n v="2"/>
    <x v="1"/>
    <n v="0"/>
    <s v="Medium"/>
  </r>
  <r>
    <s v="SHP-100374"/>
    <x v="17"/>
    <x v="3"/>
    <s v="Target"/>
    <x v="1"/>
    <x v="1"/>
    <s v="Two-Day"/>
    <d v="2026-04-21T00:00:00"/>
    <d v="2026-04-21T00:00:00"/>
    <s v="Delivered"/>
    <n v="9"/>
    <n v="0"/>
    <x v="0"/>
    <n v="1"/>
    <s v="Low"/>
  </r>
  <r>
    <s v="SHP-100235"/>
    <x v="18"/>
    <x v="5"/>
    <s v="MidwestParts LLC"/>
    <x v="0"/>
    <x v="5"/>
    <s v="Standard"/>
    <d v="2026-04-23T00:00:00"/>
    <d v="2026-04-22T00:00:00"/>
    <s v="Delivered"/>
    <n v="24"/>
    <n v="-1"/>
    <x v="0"/>
    <n v="1"/>
    <s v="Low"/>
  </r>
  <r>
    <s v="SHP-100411"/>
    <x v="18"/>
    <x v="3"/>
    <s v="Northgate Mfg"/>
    <x v="0"/>
    <x v="5"/>
    <s v="Two-Day"/>
    <d v="2026-04-22T00:00:00"/>
    <d v="2026-04-22T00:00:00"/>
    <s v="Delivered"/>
    <n v="33"/>
    <n v="0"/>
    <x v="0"/>
    <n v="1"/>
    <s v="Low"/>
  </r>
  <r>
    <s v="SHP-100153"/>
    <x v="18"/>
    <x v="4"/>
    <s v="Coastal Retail"/>
    <x v="0"/>
    <x v="2"/>
    <s v="Two-Day"/>
    <d v="2026-04-22T00:00:00"/>
    <d v="2026-04-22T00:00:00"/>
    <s v="Delivered"/>
    <n v="32"/>
    <n v="0"/>
    <x v="0"/>
    <n v="1"/>
    <s v="Low"/>
  </r>
  <r>
    <s v="SHP-100004"/>
    <x v="18"/>
    <x v="2"/>
    <s v="MidwestParts LLC"/>
    <x v="0"/>
    <x v="1"/>
    <s v="Express"/>
    <d v="2026-04-21T00:00:00"/>
    <d v="2026-04-21T00:00:00"/>
    <s v="Delivered"/>
    <n v="7"/>
    <n v="0"/>
    <x v="0"/>
    <n v="1"/>
    <s v="Low"/>
  </r>
  <r>
    <s v="SHP-100049"/>
    <x v="19"/>
    <x v="1"/>
    <s v="BlueSky Distributors"/>
    <x v="0"/>
    <x v="0"/>
    <s v="Standard"/>
    <d v="2026-04-24T00:00:00"/>
    <d v="2026-04-24T00:00:00"/>
    <s v="Delivered"/>
    <n v="27"/>
    <n v="0"/>
    <x v="0"/>
    <n v="1"/>
    <s v="Low"/>
  </r>
  <r>
    <s v="SHP-100266"/>
    <x v="19"/>
    <x v="0"/>
    <s v="RegionalGrocer Co"/>
    <x v="0"/>
    <x v="5"/>
    <s v="Express"/>
    <d v="2026-04-22T00:00:00"/>
    <d v="2026-04-22T00:00:00"/>
    <s v="Delivered"/>
    <n v="20"/>
    <n v="0"/>
    <x v="0"/>
    <n v="1"/>
    <s v="Low"/>
  </r>
  <r>
    <s v="SHP-100281"/>
    <x v="19"/>
    <x v="2"/>
    <s v="Target"/>
    <x v="1"/>
    <x v="3"/>
    <s v="Two-Day"/>
    <d v="2026-04-23T00:00:00"/>
    <d v="2026-04-22T00:00:00"/>
    <s v="Delivered"/>
    <n v="31"/>
    <n v="-1"/>
    <x v="0"/>
    <n v="1"/>
    <s v="Low"/>
  </r>
  <r>
    <s v="SHP-100249"/>
    <x v="20"/>
    <x v="1"/>
    <s v="Home Depot"/>
    <x v="1"/>
    <x v="5"/>
    <s v="Two-Day"/>
    <d v="2026-04-24T00:00:00"/>
    <d v="2026-04-24T00:00:00"/>
    <s v="Delivered"/>
    <n v="11"/>
    <n v="0"/>
    <x v="0"/>
    <n v="1"/>
    <s v="Low"/>
  </r>
  <r>
    <s v="SHP-100418"/>
    <x v="20"/>
    <x v="5"/>
    <s v="Walmart"/>
    <x v="1"/>
    <x v="4"/>
    <s v="Two-Day"/>
    <d v="2026-04-24T00:00:00"/>
    <d v="2026-04-24T00:00:00"/>
    <s v="Delivered"/>
    <n v="7"/>
    <n v="0"/>
    <x v="0"/>
    <n v="1"/>
    <s v="Low"/>
  </r>
  <r>
    <s v="SHP-100334"/>
    <x v="20"/>
    <x v="4"/>
    <s v="Walmart"/>
    <x v="1"/>
    <x v="2"/>
    <s v="Standard"/>
    <d v="2026-04-25T00:00:00"/>
    <d v="2026-04-28T00:00:00"/>
    <s v="Late"/>
    <n v="22"/>
    <n v="3"/>
    <x v="1"/>
    <n v="0"/>
    <s v="High"/>
  </r>
  <r>
    <s v="SHP-100133"/>
    <x v="20"/>
    <x v="2"/>
    <s v="BlueSky Distributors"/>
    <x v="0"/>
    <x v="3"/>
    <s v="Express"/>
    <d v="2026-04-23T00:00:00"/>
    <d v="2026-04-22T00:00:00"/>
    <s v="Delivered"/>
    <n v="3"/>
    <n v="-1"/>
    <x v="0"/>
    <n v="1"/>
    <s v="Low"/>
  </r>
  <r>
    <s v="SHP-100325"/>
    <x v="20"/>
    <x v="4"/>
    <s v="Target"/>
    <x v="1"/>
    <x v="2"/>
    <s v="Express"/>
    <d v="2026-04-23T00:00:00"/>
    <d v="2026-04-25T00:00:00"/>
    <s v="Late"/>
    <n v="35"/>
    <n v="2"/>
    <x v="1"/>
    <n v="0"/>
    <s v="High"/>
  </r>
  <r>
    <s v="SHP-100360"/>
    <x v="20"/>
    <x v="0"/>
    <s v="Northgate Mfg"/>
    <x v="0"/>
    <x v="2"/>
    <s v="Express"/>
    <d v="2026-04-23T00:00:00"/>
    <d v="2026-04-23T00:00:00"/>
    <s v="Delivered"/>
    <n v="26"/>
    <n v="0"/>
    <x v="0"/>
    <n v="1"/>
    <s v="Low"/>
  </r>
  <r>
    <s v="SHP-100402"/>
    <x v="20"/>
    <x v="1"/>
    <s v="Coastal Retail"/>
    <x v="0"/>
    <x v="3"/>
    <s v="Two-Day"/>
    <d v="2026-04-24T00:00:00"/>
    <d v="2026-04-24T00:00:00"/>
    <s v="Delivered"/>
    <n v="10"/>
    <n v="0"/>
    <x v="0"/>
    <n v="1"/>
    <s v="Low"/>
  </r>
  <r>
    <s v="SHP-100054"/>
    <x v="21"/>
    <x v="5"/>
    <s v="Walmart"/>
    <x v="1"/>
    <x v="3"/>
    <s v="Express"/>
    <d v="2026-04-24T00:00:00"/>
    <d v="2026-04-23T00:00:00"/>
    <s v="Delivered"/>
    <n v="3"/>
    <n v="-1"/>
    <x v="0"/>
    <n v="1"/>
    <s v="Low"/>
  </r>
  <r>
    <s v="SHP-100241"/>
    <x v="21"/>
    <x v="0"/>
    <s v="BlueSky Distributors"/>
    <x v="0"/>
    <x v="2"/>
    <s v="Two-Day"/>
    <d v="2026-04-25T00:00:00"/>
    <d v="2026-04-25T00:00:00"/>
    <s v="Delivered"/>
    <n v="8"/>
    <n v="0"/>
    <x v="0"/>
    <n v="1"/>
    <s v="Low"/>
  </r>
  <r>
    <s v="SHP-100135"/>
    <x v="21"/>
    <x v="1"/>
    <s v="Northgate Mfg"/>
    <x v="0"/>
    <x v="0"/>
    <s v="Standard"/>
    <d v="2026-04-26T00:00:00"/>
    <d v="2026-04-26T00:00:00"/>
    <s v="Delivered"/>
    <n v="40"/>
    <n v="0"/>
    <x v="0"/>
    <n v="1"/>
    <s v="Low"/>
  </r>
  <r>
    <s v="SHP-100414"/>
    <x v="21"/>
    <x v="1"/>
    <s v="Coastal Retail"/>
    <x v="0"/>
    <x v="3"/>
    <s v="Express"/>
    <d v="2026-04-24T00:00:00"/>
    <d v="2026-04-24T00:00:00"/>
    <s v="Delivered"/>
    <n v="1"/>
    <n v="0"/>
    <x v="0"/>
    <n v="1"/>
    <s v="Low"/>
  </r>
  <r>
    <s v="SHP-100303"/>
    <x v="21"/>
    <x v="0"/>
    <s v="Northgate Mfg"/>
    <x v="0"/>
    <x v="1"/>
    <s v="Standard"/>
    <d v="2026-04-26T00:00:00"/>
    <d v="2026-04-26T00:00:00"/>
    <s v="Delivered"/>
    <n v="9"/>
    <n v="0"/>
    <x v="0"/>
    <n v="1"/>
    <s v="Low"/>
  </r>
  <r>
    <s v="SHP-100183"/>
    <x v="21"/>
    <x v="3"/>
    <s v="Sunrise Foods"/>
    <x v="0"/>
    <x v="2"/>
    <s v="Express"/>
    <d v="2026-04-24T00:00:00"/>
    <d v="2026-04-24T00:00:00"/>
    <s v="Delivered"/>
    <n v="15"/>
    <n v="0"/>
    <x v="0"/>
    <n v="1"/>
    <s v="Low"/>
  </r>
  <r>
    <s v="SHP-100355"/>
    <x v="22"/>
    <x v="1"/>
    <s v="Coca-Cola"/>
    <x v="1"/>
    <x v="5"/>
    <s v="Two-Day"/>
    <d v="2026-04-26T00:00:00"/>
    <d v="2026-04-26T00:00:00"/>
    <s v="Delivered"/>
    <n v="30"/>
    <n v="0"/>
    <x v="0"/>
    <n v="1"/>
    <s v="Low"/>
  </r>
  <r>
    <s v="SHP-100342"/>
    <x v="22"/>
    <x v="5"/>
    <s v="Apex Supplies"/>
    <x v="0"/>
    <x v="4"/>
    <s v="Express"/>
    <d v="2026-04-25T00:00:00"/>
    <d v="2026-04-25T00:00:00"/>
    <s v="Delivered"/>
    <n v="6"/>
    <n v="0"/>
    <x v="0"/>
    <n v="1"/>
    <s v="Low"/>
  </r>
  <r>
    <s v="SHP-100036"/>
    <x v="22"/>
    <x v="0"/>
    <s v="Walmart"/>
    <x v="1"/>
    <x v="5"/>
    <s v="Standard"/>
    <d v="2026-04-27T00:00:00"/>
    <d v="2026-04-28T00:00:00"/>
    <s v="Late"/>
    <n v="26"/>
    <n v="1"/>
    <x v="1"/>
    <n v="0"/>
    <s v="High"/>
  </r>
  <r>
    <s v="SHP-100096"/>
    <x v="22"/>
    <x v="5"/>
    <s v="Home Depot"/>
    <x v="1"/>
    <x v="2"/>
    <s v="Two-Day"/>
    <d v="2026-04-26T00:00:00"/>
    <d v="2026-04-26T00:00:00"/>
    <s v="Delivered"/>
    <n v="18"/>
    <n v="0"/>
    <x v="0"/>
    <n v="1"/>
    <s v="Low"/>
  </r>
  <r>
    <s v="SHP-100237"/>
    <x v="22"/>
    <x v="0"/>
    <s v="Home Depot"/>
    <x v="1"/>
    <x v="3"/>
    <s v="Two-Day"/>
    <d v="2026-04-26T00:00:00"/>
    <d v="2026-04-26T00:00:00"/>
    <s v="Delivered"/>
    <n v="36"/>
    <n v="0"/>
    <x v="0"/>
    <n v="1"/>
    <s v="Low"/>
  </r>
  <r>
    <s v="SHP-100368"/>
    <x v="22"/>
    <x v="0"/>
    <s v="MidwestParts LLC"/>
    <x v="0"/>
    <x v="2"/>
    <s v="Standard"/>
    <d v="2026-04-27T00:00:00"/>
    <d v="2026-04-27T00:00:00"/>
    <s v="Delivered"/>
    <n v="2"/>
    <n v="0"/>
    <x v="0"/>
    <n v="1"/>
    <s v="Low"/>
  </r>
  <r>
    <s v="SHP-100286"/>
    <x v="23"/>
    <x v="0"/>
    <s v="Apex Supplies"/>
    <x v="0"/>
    <x v="4"/>
    <s v="Express"/>
    <d v="2026-04-26T00:00:00"/>
    <d v="2026-04-26T00:00:00"/>
    <s v="Delivered"/>
    <n v="30"/>
    <n v="0"/>
    <x v="0"/>
    <n v="1"/>
    <s v="Low"/>
  </r>
  <r>
    <s v="SHP-100331"/>
    <x v="23"/>
    <x v="3"/>
    <s v="Apex Supplies"/>
    <x v="0"/>
    <x v="0"/>
    <s v="Standard"/>
    <d v="2026-04-28T00:00:00"/>
    <d v="2026-04-28T00:00:00"/>
    <s v="Delivered"/>
    <n v="23"/>
    <n v="0"/>
    <x v="0"/>
    <n v="1"/>
    <s v="Low"/>
  </r>
  <r>
    <s v="SHP-100034"/>
    <x v="23"/>
    <x v="2"/>
    <s v="BlueSky Distributors"/>
    <x v="0"/>
    <x v="4"/>
    <s v="Standard"/>
    <d v="2026-04-28T00:00:00"/>
    <d v="2026-04-27T00:00:00"/>
    <s v="Delivered"/>
    <n v="38"/>
    <n v="-1"/>
    <x v="0"/>
    <n v="1"/>
    <s v="Low"/>
  </r>
  <r>
    <s v="SHP-100406"/>
    <x v="23"/>
    <x v="0"/>
    <s v="Apex Supplies"/>
    <x v="0"/>
    <x v="5"/>
    <s v="Two-Day"/>
    <d v="2026-04-27T00:00:00"/>
    <d v="2026-04-27T00:00:00"/>
    <s v="Delivered"/>
    <n v="4"/>
    <n v="0"/>
    <x v="0"/>
    <n v="1"/>
    <s v="Low"/>
  </r>
  <r>
    <s v="SHP-100227"/>
    <x v="23"/>
    <x v="4"/>
    <s v="Lowe's"/>
    <x v="1"/>
    <x v="3"/>
    <s v="Two-Day"/>
    <d v="2026-04-27T00:00:00"/>
    <d v="2026-04-27T00:00:00"/>
    <s v="Delivered"/>
    <n v="4"/>
    <n v="0"/>
    <x v="0"/>
    <n v="1"/>
    <s v="Low"/>
  </r>
  <r>
    <s v="SHP-100080"/>
    <x v="24"/>
    <x v="2"/>
    <s v="Walmart"/>
    <x v="1"/>
    <x v="3"/>
    <s v="Standard"/>
    <d v="2026-04-29T00:00:00"/>
    <d v="2026-04-29T00:00:00"/>
    <s v="Delivered"/>
    <n v="16"/>
    <n v="0"/>
    <x v="0"/>
    <n v="1"/>
    <s v="Low"/>
  </r>
  <r>
    <s v="SHP-100210"/>
    <x v="24"/>
    <x v="1"/>
    <s v="Apex Supplies"/>
    <x v="0"/>
    <x v="4"/>
    <s v="Standard"/>
    <d v="2026-04-29T00:00:00"/>
    <d v="2026-04-29T00:00:00"/>
    <s v="Delivered"/>
    <n v="17"/>
    <n v="0"/>
    <x v="0"/>
    <n v="1"/>
    <s v="Low"/>
  </r>
  <r>
    <s v="SHP-100144"/>
    <x v="24"/>
    <x v="5"/>
    <s v="BlueSky Distributors"/>
    <x v="0"/>
    <x v="4"/>
    <s v="Standard"/>
    <d v="2026-04-29T00:00:00"/>
    <d v="2026-04-29T00:00:00"/>
    <s v="Delivered"/>
    <n v="24"/>
    <n v="0"/>
    <x v="0"/>
    <n v="1"/>
    <s v="Low"/>
  </r>
  <r>
    <s v="SHP-100057"/>
    <x v="24"/>
    <x v="2"/>
    <s v="BlueSky Distributors"/>
    <x v="0"/>
    <x v="2"/>
    <s v="Two-Day"/>
    <d v="2026-04-28T00:00:00"/>
    <d v="2026-04-28T00:00:00"/>
    <s v="Delivered"/>
    <n v="22"/>
    <n v="0"/>
    <x v="0"/>
    <n v="1"/>
    <s v="Low"/>
  </r>
  <r>
    <s v="SHP-100038"/>
    <x v="25"/>
    <x v="1"/>
    <s v="Apex Supplies"/>
    <x v="0"/>
    <x v="1"/>
    <s v="Express"/>
    <d v="2026-04-28T00:00:00"/>
    <d v="2026-04-28T00:00:00"/>
    <s v="Delivered"/>
    <n v="17"/>
    <n v="0"/>
    <x v="0"/>
    <n v="1"/>
    <s v="Low"/>
  </r>
  <r>
    <s v="SHP-100297"/>
    <x v="25"/>
    <x v="5"/>
    <s v="Apex Supplies"/>
    <x v="0"/>
    <x v="4"/>
    <s v="Standard"/>
    <d v="2026-04-30T00:00:00"/>
    <d v="2026-04-30T00:00:00"/>
    <s v="Delivered"/>
    <n v="33"/>
    <n v="0"/>
    <x v="0"/>
    <n v="1"/>
    <s v="Low"/>
  </r>
  <r>
    <s v="SHP-100403"/>
    <x v="26"/>
    <x v="4"/>
    <s v="Coastal Retail"/>
    <x v="0"/>
    <x v="2"/>
    <s v="Express"/>
    <d v="2026-04-29T00:00:00"/>
    <d v="2026-04-30T00:00:00"/>
    <s v="Late"/>
    <n v="38"/>
    <n v="1"/>
    <x v="1"/>
    <n v="0"/>
    <s v="Medium"/>
  </r>
  <r>
    <s v="SHP-100278"/>
    <x v="26"/>
    <x v="2"/>
    <s v="Lowe's"/>
    <x v="1"/>
    <x v="2"/>
    <s v="Express"/>
    <d v="2026-04-29T00:00:00"/>
    <d v="2026-04-29T00:00:00"/>
    <s v="Delivered"/>
    <n v="36"/>
    <n v="0"/>
    <x v="0"/>
    <n v="1"/>
    <s v="Low"/>
  </r>
  <r>
    <s v="SHP-100090"/>
    <x v="26"/>
    <x v="4"/>
    <s v="RegionalGrocer Co"/>
    <x v="0"/>
    <x v="0"/>
    <s v="Express"/>
    <d v="2026-04-29T00:00:00"/>
    <d v="2026-04-29T00:00:00"/>
    <s v="Delivered"/>
    <n v="18"/>
    <n v="0"/>
    <x v="0"/>
    <n v="1"/>
    <s v="Low"/>
  </r>
  <r>
    <s v="SHP-100392"/>
    <x v="26"/>
    <x v="1"/>
    <s v="MidwestParts LLC"/>
    <x v="0"/>
    <x v="0"/>
    <s v="Express"/>
    <d v="2026-04-29T00:00:00"/>
    <d v="2026-04-29T00:00:00"/>
    <s v="Delivered"/>
    <n v="19"/>
    <n v="0"/>
    <x v="0"/>
    <n v="1"/>
    <s v="Low"/>
  </r>
  <r>
    <s v="SHP-100032"/>
    <x v="26"/>
    <x v="0"/>
    <s v="MidwestParts LLC"/>
    <x v="0"/>
    <x v="4"/>
    <s v="Express"/>
    <d v="2026-04-29T00:00:00"/>
    <d v="2026-04-28T00:00:00"/>
    <s v="Delivered"/>
    <n v="11"/>
    <n v="-1"/>
    <x v="0"/>
    <n v="1"/>
    <s v="Low"/>
  </r>
  <r>
    <s v="SHP-100379"/>
    <x v="27"/>
    <x v="0"/>
    <s v="Home Depot"/>
    <x v="1"/>
    <x v="5"/>
    <s v="Standard"/>
    <d v="2026-05-02T00:00:00"/>
    <d v="2026-05-02T00:00:00"/>
    <s v="Delivered"/>
    <n v="35"/>
    <n v="0"/>
    <x v="0"/>
    <n v="1"/>
    <s v="Low"/>
  </r>
  <r>
    <s v="SHP-100247"/>
    <x v="27"/>
    <x v="0"/>
    <s v="Target"/>
    <x v="1"/>
    <x v="1"/>
    <s v="Two-Day"/>
    <d v="2026-05-01T00:00:00"/>
    <d v="2026-04-30T00:00:00"/>
    <s v="Delivered"/>
    <n v="19"/>
    <n v="-1"/>
    <x v="0"/>
    <n v="1"/>
    <s v="Low"/>
  </r>
  <r>
    <s v="SHP-100362"/>
    <x v="27"/>
    <x v="1"/>
    <s v="Coastal Retail"/>
    <x v="0"/>
    <x v="2"/>
    <s v="Two-Day"/>
    <d v="2026-05-01T00:00:00"/>
    <d v="2026-05-01T00:00:00"/>
    <s v="Delivered"/>
    <n v="38"/>
    <n v="0"/>
    <x v="0"/>
    <n v="1"/>
    <s v="Low"/>
  </r>
  <r>
    <s v="SHP-100173"/>
    <x v="27"/>
    <x v="5"/>
    <s v="Home Depot"/>
    <x v="1"/>
    <x v="1"/>
    <s v="Two-Day"/>
    <d v="2026-05-01T00:00:00"/>
    <d v="2026-05-01T00:00:00"/>
    <s v="Delivered"/>
    <n v="40"/>
    <n v="0"/>
    <x v="0"/>
    <n v="1"/>
    <s v="Low"/>
  </r>
  <r>
    <s v="SHP-100214"/>
    <x v="27"/>
    <x v="0"/>
    <s v="MidwestParts LLC"/>
    <x v="0"/>
    <x v="3"/>
    <s v="Express"/>
    <d v="2026-04-30T00:00:00"/>
    <d v="2026-05-03T00:00:00"/>
    <s v="Late"/>
    <n v="22"/>
    <n v="3"/>
    <x v="1"/>
    <n v="0"/>
    <s v="Medium"/>
  </r>
  <r>
    <s v="SHP-100093"/>
    <x v="27"/>
    <x v="4"/>
    <s v="Walmart"/>
    <x v="1"/>
    <x v="3"/>
    <s v="Express"/>
    <d v="2026-04-30T00:00:00"/>
    <d v="2026-04-30T00:00:00"/>
    <s v="Delivered"/>
    <n v="38"/>
    <n v="0"/>
    <x v="0"/>
    <n v="1"/>
    <s v="Low"/>
  </r>
  <r>
    <s v="SHP-100107"/>
    <x v="28"/>
    <x v="2"/>
    <s v="Sunrise Foods"/>
    <x v="0"/>
    <x v="3"/>
    <s v="Two-Day"/>
    <d v="2026-05-02T00:00:00"/>
    <d v="2026-05-02T00:00:00"/>
    <s v="Delivered"/>
    <n v="38"/>
    <n v="0"/>
    <x v="0"/>
    <n v="1"/>
    <s v="Low"/>
  </r>
  <r>
    <s v="SHP-100323"/>
    <x v="28"/>
    <x v="5"/>
    <s v="Target"/>
    <x v="1"/>
    <x v="0"/>
    <s v="Express"/>
    <d v="2026-05-01T00:00:00"/>
    <d v="2026-05-01T00:00:00"/>
    <s v="Delivered"/>
    <n v="32"/>
    <n v="0"/>
    <x v="0"/>
    <n v="1"/>
    <s v="Low"/>
  </r>
  <r>
    <s v="SHP-100167"/>
    <x v="28"/>
    <x v="2"/>
    <s v="Coca-Cola"/>
    <x v="1"/>
    <x v="4"/>
    <s v="Express"/>
    <d v="2026-05-01T00:00:00"/>
    <d v="2026-05-01T00:00:00"/>
    <s v="Delivered"/>
    <n v="26"/>
    <n v="0"/>
    <x v="0"/>
    <n v="1"/>
    <s v="Low"/>
  </r>
  <r>
    <s v="SHP-100419"/>
    <x v="28"/>
    <x v="1"/>
    <s v="Northgate Mfg"/>
    <x v="0"/>
    <x v="2"/>
    <s v="Standard"/>
    <d v="2026-05-03T00:00:00"/>
    <d v="2026-05-03T00:00:00"/>
    <s v="Delivered"/>
    <n v="1"/>
    <n v="0"/>
    <x v="0"/>
    <n v="1"/>
    <s v="Low"/>
  </r>
  <r>
    <s v="SHP-100132"/>
    <x v="28"/>
    <x v="0"/>
    <s v="Northgate Mfg"/>
    <x v="0"/>
    <x v="2"/>
    <s v="Express"/>
    <d v="2026-05-01T00:00:00"/>
    <d v="2026-05-01T00:00:00"/>
    <s v="Delivered"/>
    <n v="7"/>
    <n v="0"/>
    <x v="0"/>
    <n v="1"/>
    <s v="Low"/>
  </r>
  <r>
    <s v="SHP-100208"/>
    <x v="28"/>
    <x v="1"/>
    <s v="Lowe's"/>
    <x v="1"/>
    <x v="2"/>
    <s v="Express"/>
    <d v="2026-05-01T00:00:00"/>
    <d v="2026-05-01T00:00:00"/>
    <s v="Delivered"/>
    <n v="31"/>
    <n v="0"/>
    <x v="0"/>
    <n v="1"/>
    <s v="Low"/>
  </r>
  <r>
    <s v="SHP-100141"/>
    <x v="28"/>
    <x v="1"/>
    <s v="BlueSky Distributors"/>
    <x v="0"/>
    <x v="4"/>
    <s v="Express"/>
    <d v="2026-05-01T00:00:00"/>
    <d v="2026-05-01T00:00:00"/>
    <s v="Delivered"/>
    <n v="13"/>
    <n v="0"/>
    <x v="0"/>
    <n v="1"/>
    <s v="Low"/>
  </r>
  <r>
    <s v="SHP-100397"/>
    <x v="28"/>
    <x v="3"/>
    <s v="MidwestParts LLC"/>
    <x v="0"/>
    <x v="2"/>
    <s v="Express"/>
    <d v="2026-05-01T00:00:00"/>
    <d v="2026-05-01T00:00:00"/>
    <s v="Delivered"/>
    <n v="7"/>
    <n v="0"/>
    <x v="0"/>
    <n v="1"/>
    <s v="Low"/>
  </r>
  <r>
    <s v="SHP-100335"/>
    <x v="28"/>
    <x v="1"/>
    <s v="Home Depot"/>
    <x v="1"/>
    <x v="5"/>
    <s v="Standard"/>
    <d v="2026-05-03T00:00:00"/>
    <d v="2026-05-03T00:00:00"/>
    <s v="Delivered"/>
    <n v="37"/>
    <n v="0"/>
    <x v="0"/>
    <n v="1"/>
    <s v="Low"/>
  </r>
  <r>
    <s v="SHP-100052"/>
    <x v="28"/>
    <x v="0"/>
    <s v="Sunrise Foods"/>
    <x v="0"/>
    <x v="1"/>
    <s v="Express"/>
    <d v="2026-05-01T00:00:00"/>
    <d v="2026-05-01T00:00:00"/>
    <s v="Delivered"/>
    <n v="26"/>
    <n v="0"/>
    <x v="0"/>
    <n v="1"/>
    <s v="Low"/>
  </r>
  <r>
    <s v="SHP-100338"/>
    <x v="29"/>
    <x v="3"/>
    <s v="Lowe's"/>
    <x v="1"/>
    <x v="0"/>
    <s v="Two-Day"/>
    <d v="2026-05-03T00:00:00"/>
    <d v="2026-05-03T00:00:00"/>
    <s v="Delivered"/>
    <n v="35"/>
    <n v="0"/>
    <x v="0"/>
    <n v="1"/>
    <s v="Low"/>
  </r>
  <r>
    <s v="SHP-100413"/>
    <x v="29"/>
    <x v="5"/>
    <s v="BlueSky Distributors"/>
    <x v="0"/>
    <x v="4"/>
    <s v="Two-Day"/>
    <d v="2026-05-03T00:00:00"/>
    <d v="2026-05-04T00:00:00"/>
    <s v="Late"/>
    <n v="30"/>
    <n v="1"/>
    <x v="1"/>
    <n v="0"/>
    <s v="Medium"/>
  </r>
  <r>
    <s v="SHP-100092"/>
    <x v="29"/>
    <x v="2"/>
    <s v="MidwestParts LLC"/>
    <x v="0"/>
    <x v="4"/>
    <s v="Two-Day"/>
    <d v="2026-05-03T00:00:00"/>
    <d v="2026-05-03T00:00:00"/>
    <s v="Delivered"/>
    <n v="32"/>
    <n v="0"/>
    <x v="0"/>
    <n v="1"/>
    <s v="Low"/>
  </r>
  <r>
    <s v="SHP-100020"/>
    <x v="29"/>
    <x v="3"/>
    <s v="Home Depot"/>
    <x v="1"/>
    <x v="1"/>
    <s v="Express"/>
    <d v="2026-05-02T00:00:00"/>
    <d v="2026-05-05T00:00:00"/>
    <s v="Exception"/>
    <n v="6"/>
    <n v="3"/>
    <x v="1"/>
    <n v="0"/>
    <s v="High"/>
  </r>
  <r>
    <s v="SHP-100407"/>
    <x v="29"/>
    <x v="0"/>
    <s v="Sunrise Foods"/>
    <x v="0"/>
    <x v="4"/>
    <s v="Standard"/>
    <d v="2026-05-04T00:00:00"/>
    <d v="2026-05-04T00:00:00"/>
    <s v="Delivered"/>
    <n v="34"/>
    <n v="0"/>
    <x v="0"/>
    <n v="1"/>
    <s v="Low"/>
  </r>
  <r>
    <s v="SHP-100219"/>
    <x v="29"/>
    <x v="3"/>
    <s v="Northgate Mfg"/>
    <x v="0"/>
    <x v="5"/>
    <s v="Two-Day"/>
    <d v="2026-05-03T00:00:00"/>
    <d v="2026-05-03T00:00:00"/>
    <s v="Delivered"/>
    <n v="1"/>
    <n v="0"/>
    <x v="0"/>
    <n v="1"/>
    <s v="Low"/>
  </r>
  <r>
    <s v="SHP-100139"/>
    <x v="29"/>
    <x v="0"/>
    <s v="MidwestParts LLC"/>
    <x v="0"/>
    <x v="4"/>
    <s v="Standard"/>
    <d v="2026-05-04T00:00:00"/>
    <d v="2026-05-04T00:00:00"/>
    <s v="Delivered"/>
    <n v="19"/>
    <n v="0"/>
    <x v="0"/>
    <n v="1"/>
    <s v="Low"/>
  </r>
  <r>
    <s v="SHP-100291"/>
    <x v="29"/>
    <x v="3"/>
    <s v="Lowe's"/>
    <x v="1"/>
    <x v="2"/>
    <s v="Express"/>
    <d v="2026-05-02T00:00:00"/>
    <d v="2026-05-03T00:00:00"/>
    <s v="Late"/>
    <n v="26"/>
    <n v="1"/>
    <x v="1"/>
    <n v="0"/>
    <s v="High"/>
  </r>
  <r>
    <s v="SHP-100126"/>
    <x v="29"/>
    <x v="4"/>
    <s v="RegionalGrocer Co"/>
    <x v="0"/>
    <x v="0"/>
    <s v="Two-Day"/>
    <d v="2026-05-03T00:00:00"/>
    <d v="2026-05-03T00:00:00"/>
    <s v="Delivered"/>
    <n v="27"/>
    <n v="0"/>
    <x v="0"/>
    <n v="1"/>
    <s v="Low"/>
  </r>
  <r>
    <s v="SHP-100084"/>
    <x v="30"/>
    <x v="2"/>
    <s v="Coca-Cola"/>
    <x v="1"/>
    <x v="3"/>
    <s v="Two-Day"/>
    <d v="2026-05-04T00:00:00"/>
    <d v="2026-05-04T00:00:00"/>
    <s v="Delivered"/>
    <n v="39"/>
    <n v="0"/>
    <x v="0"/>
    <n v="1"/>
    <s v="Low"/>
  </r>
  <r>
    <s v="SHP-100382"/>
    <x v="30"/>
    <x v="4"/>
    <s v="Home Depot"/>
    <x v="1"/>
    <x v="2"/>
    <s v="Two-Day"/>
    <d v="2026-05-04T00:00:00"/>
    <d v="2026-05-03T00:00:00"/>
    <s v="Delivered"/>
    <n v="29"/>
    <n v="-1"/>
    <x v="0"/>
    <n v="1"/>
    <s v="Low"/>
  </r>
  <r>
    <s v="SHP-100324"/>
    <x v="31"/>
    <x v="1"/>
    <s v="Northgate Mfg"/>
    <x v="0"/>
    <x v="2"/>
    <s v="Express"/>
    <d v="2026-05-04T00:00:00"/>
    <d v="2026-05-04T00:00:00"/>
    <s v="Delivered"/>
    <n v="32"/>
    <n v="0"/>
    <x v="0"/>
    <n v="1"/>
    <s v="Low"/>
  </r>
  <r>
    <s v="SHP-100145"/>
    <x v="31"/>
    <x v="1"/>
    <s v="Apex Supplies"/>
    <x v="0"/>
    <x v="1"/>
    <s v="Standard"/>
    <d v="2026-05-06T00:00:00"/>
    <d v="2026-05-05T00:00:00"/>
    <s v="Delivered"/>
    <n v="19"/>
    <n v="-1"/>
    <x v="0"/>
    <n v="1"/>
    <s v="Low"/>
  </r>
  <r>
    <s v="SHP-100251"/>
    <x v="32"/>
    <x v="3"/>
    <s v="Walmart"/>
    <x v="1"/>
    <x v="2"/>
    <s v="Two-Day"/>
    <d v="2026-05-06T00:00:00"/>
    <d v="2026-05-06T00:00:00"/>
    <s v="Delivered"/>
    <n v="27"/>
    <n v="0"/>
    <x v="0"/>
    <n v="1"/>
    <s v="Low"/>
  </r>
  <r>
    <s v="SHP-100274"/>
    <x v="32"/>
    <x v="5"/>
    <s v="Apex Supplies"/>
    <x v="0"/>
    <x v="1"/>
    <s v="Two-Day"/>
    <d v="2026-05-06T00:00:00"/>
    <d v="2026-05-06T00:00:00"/>
    <s v="Delivered"/>
    <n v="16"/>
    <n v="0"/>
    <x v="0"/>
    <n v="1"/>
    <s v="Low"/>
  </r>
  <r>
    <s v="SHP-100044"/>
    <x v="32"/>
    <x v="2"/>
    <s v="RegionalGrocer Co"/>
    <x v="0"/>
    <x v="0"/>
    <s v="Two-Day"/>
    <d v="2026-05-06T00:00:00"/>
    <d v="2026-05-06T00:00:00"/>
    <s v="Delivered"/>
    <n v="4"/>
    <n v="0"/>
    <x v="0"/>
    <n v="1"/>
    <s v="Low"/>
  </r>
  <r>
    <s v="SHP-100290"/>
    <x v="33"/>
    <x v="5"/>
    <s v="MidwestParts LLC"/>
    <x v="0"/>
    <x v="0"/>
    <s v="Express"/>
    <d v="2026-05-06T00:00:00"/>
    <d v="2026-05-06T00:00:00"/>
    <s v="Delivered"/>
    <n v="37"/>
    <n v="0"/>
    <x v="0"/>
    <n v="1"/>
    <s v="Low"/>
  </r>
  <r>
    <s v="SHP-100386"/>
    <x v="33"/>
    <x v="2"/>
    <s v="Lowe's"/>
    <x v="1"/>
    <x v="1"/>
    <s v="Two-Day"/>
    <d v="2026-05-07T00:00:00"/>
    <d v="2026-05-07T00:00:00"/>
    <s v="Delivered"/>
    <n v="7"/>
    <n v="0"/>
    <x v="0"/>
    <n v="1"/>
    <s v="Low"/>
  </r>
  <r>
    <s v="SHP-100212"/>
    <x v="33"/>
    <x v="3"/>
    <s v="Lowe's"/>
    <x v="1"/>
    <x v="3"/>
    <s v="Standard"/>
    <d v="2026-05-08T00:00:00"/>
    <d v="2026-05-08T00:00:00"/>
    <s v="Delivered"/>
    <n v="28"/>
    <n v="0"/>
    <x v="0"/>
    <n v="1"/>
    <s v="Low"/>
  </r>
  <r>
    <s v="SHP-100341"/>
    <x v="33"/>
    <x v="4"/>
    <s v="RegionalGrocer Co"/>
    <x v="0"/>
    <x v="3"/>
    <s v="Two-Day"/>
    <d v="2026-05-07T00:00:00"/>
    <d v="2026-05-07T00:00:00"/>
    <s v="Delivered"/>
    <n v="15"/>
    <n v="0"/>
    <x v="0"/>
    <n v="1"/>
    <s v="Low"/>
  </r>
  <r>
    <s v="SHP-100011"/>
    <x v="33"/>
    <x v="0"/>
    <s v="Walmart"/>
    <x v="1"/>
    <x v="1"/>
    <s v="Express"/>
    <d v="2026-05-06T00:00:00"/>
    <d v="2026-05-09T00:00:00"/>
    <s v="Late"/>
    <n v="21"/>
    <n v="3"/>
    <x v="1"/>
    <n v="0"/>
    <s v="High"/>
  </r>
  <r>
    <s v="SHP-100276"/>
    <x v="34"/>
    <x v="5"/>
    <s v="Sunrise Foods"/>
    <x v="0"/>
    <x v="1"/>
    <s v="Two-Day"/>
    <d v="2026-05-08T00:00:00"/>
    <d v="2026-05-08T00:00:00"/>
    <s v="Delivered"/>
    <n v="35"/>
    <n v="0"/>
    <x v="0"/>
    <n v="1"/>
    <s v="Low"/>
  </r>
  <r>
    <s v="SHP-100336"/>
    <x v="34"/>
    <x v="4"/>
    <s v="Lowe's"/>
    <x v="1"/>
    <x v="3"/>
    <s v="Standard"/>
    <d v="2026-05-09T00:00:00"/>
    <d v="2026-05-09T00:00:00"/>
    <s v="Delivered"/>
    <n v="3"/>
    <n v="0"/>
    <x v="0"/>
    <n v="1"/>
    <s v="Low"/>
  </r>
  <r>
    <s v="SHP-100354"/>
    <x v="34"/>
    <x v="1"/>
    <s v="Coca-Cola"/>
    <x v="1"/>
    <x v="1"/>
    <s v="Express"/>
    <d v="2026-05-07T00:00:00"/>
    <d v="2026-05-07T00:00:00"/>
    <s v="Delivered"/>
    <n v="8"/>
    <n v="0"/>
    <x v="0"/>
    <n v="1"/>
    <s v="Low"/>
  </r>
  <r>
    <s v="SHP-100000"/>
    <x v="34"/>
    <x v="2"/>
    <s v="Home Depot"/>
    <x v="1"/>
    <x v="3"/>
    <s v="Two-Day"/>
    <d v="2026-05-08T00:00:00"/>
    <d v="2026-05-08T00:00:00"/>
    <s v="Delivered"/>
    <n v="7"/>
    <n v="0"/>
    <x v="0"/>
    <n v="1"/>
    <s v="Low"/>
  </r>
  <r>
    <s v="SHP-100003"/>
    <x v="34"/>
    <x v="4"/>
    <s v="Coca-Cola"/>
    <x v="1"/>
    <x v="4"/>
    <s v="Two-Day"/>
    <d v="2026-05-08T00:00:00"/>
    <d v="2026-05-08T00:00:00"/>
    <s v="Delivered"/>
    <n v="11"/>
    <n v="0"/>
    <x v="0"/>
    <n v="1"/>
    <s v="Low"/>
  </r>
  <r>
    <s v="SHP-100069"/>
    <x v="34"/>
    <x v="4"/>
    <s v="Lowe's"/>
    <x v="1"/>
    <x v="0"/>
    <s v="Two-Day"/>
    <d v="2026-05-08T00:00:00"/>
    <d v="2026-05-08T00:00:00"/>
    <s v="Delivered"/>
    <n v="16"/>
    <n v="0"/>
    <x v="0"/>
    <n v="1"/>
    <s v="Low"/>
  </r>
  <r>
    <s v="SHP-100123"/>
    <x v="34"/>
    <x v="1"/>
    <s v="BlueSky Distributors"/>
    <x v="0"/>
    <x v="0"/>
    <s v="Standard"/>
    <d v="2026-05-09T00:00:00"/>
    <d v="2026-05-09T00:00:00"/>
    <s v="Delivered"/>
    <n v="22"/>
    <n v="0"/>
    <x v="0"/>
    <n v="1"/>
    <s v="Low"/>
  </r>
  <r>
    <s v="SHP-100171"/>
    <x v="35"/>
    <x v="2"/>
    <s v="MidwestParts LLC"/>
    <x v="0"/>
    <x v="2"/>
    <s v="Standard"/>
    <d v="2026-05-10T00:00:00"/>
    <d v="2026-05-10T00:00:00"/>
    <s v="Delivered"/>
    <n v="37"/>
    <n v="0"/>
    <x v="0"/>
    <n v="1"/>
    <s v="Low"/>
  </r>
  <r>
    <s v="SHP-100405"/>
    <x v="35"/>
    <x v="0"/>
    <s v="Apex Supplies"/>
    <x v="0"/>
    <x v="5"/>
    <s v="Two-Day"/>
    <d v="2026-05-09T00:00:00"/>
    <d v="2026-05-09T00:00:00"/>
    <s v="Delivered"/>
    <n v="20"/>
    <n v="0"/>
    <x v="0"/>
    <n v="1"/>
    <s v="Low"/>
  </r>
  <r>
    <s v="SHP-100097"/>
    <x v="35"/>
    <x v="2"/>
    <s v="Coastal Retail"/>
    <x v="0"/>
    <x v="5"/>
    <s v="Two-Day"/>
    <d v="2026-05-09T00:00:00"/>
    <d v="2026-05-09T00:00:00"/>
    <s v="Delivered"/>
    <n v="19"/>
    <n v="0"/>
    <x v="0"/>
    <n v="1"/>
    <s v="Low"/>
  </r>
  <r>
    <s v="SHP-100070"/>
    <x v="35"/>
    <x v="5"/>
    <s v="Sunrise Foods"/>
    <x v="0"/>
    <x v="3"/>
    <s v="Two-Day"/>
    <d v="2026-05-09T00:00:00"/>
    <d v="2026-05-09T00:00:00"/>
    <s v="Delivered"/>
    <n v="35"/>
    <n v="0"/>
    <x v="0"/>
    <n v="1"/>
    <s v="Low"/>
  </r>
  <r>
    <s v="SHP-100137"/>
    <x v="35"/>
    <x v="5"/>
    <s v="Northgate Mfg"/>
    <x v="0"/>
    <x v="3"/>
    <s v="Express"/>
    <d v="2026-05-08T00:00:00"/>
    <d v="2026-05-08T00:00:00"/>
    <s v="Delivered"/>
    <n v="29"/>
    <n v="0"/>
    <x v="0"/>
    <n v="1"/>
    <s v="Low"/>
  </r>
  <r>
    <s v="SHP-100284"/>
    <x v="36"/>
    <x v="3"/>
    <s v="MidwestParts LLC"/>
    <x v="0"/>
    <x v="4"/>
    <s v="Standard"/>
    <d v="2026-05-11T00:00:00"/>
    <d v="2026-05-11T00:00:00"/>
    <s v="Delivered"/>
    <n v="37"/>
    <n v="0"/>
    <x v="0"/>
    <n v="1"/>
    <s v="Low"/>
  </r>
  <r>
    <s v="SHP-100277"/>
    <x v="36"/>
    <x v="4"/>
    <s v="MidwestParts LLC"/>
    <x v="0"/>
    <x v="1"/>
    <s v="Standard"/>
    <d v="2026-05-11T00:00:00"/>
    <d v="2026-05-15T00:00:00"/>
    <s v="Late"/>
    <n v="29"/>
    <n v="4"/>
    <x v="1"/>
    <n v="0"/>
    <s v="Medium"/>
  </r>
  <r>
    <s v="SHP-100256"/>
    <x v="36"/>
    <x v="0"/>
    <s v="Target"/>
    <x v="1"/>
    <x v="3"/>
    <s v="Standard"/>
    <d v="2026-05-11T00:00:00"/>
    <d v="2026-05-11T00:00:00"/>
    <s v="Delivered"/>
    <n v="27"/>
    <n v="0"/>
    <x v="0"/>
    <n v="1"/>
    <s v="Low"/>
  </r>
  <r>
    <s v="SHP-100058"/>
    <x v="37"/>
    <x v="1"/>
    <s v="RegionalGrocer Co"/>
    <x v="0"/>
    <x v="2"/>
    <s v="Standard"/>
    <d v="2026-05-12T00:00:00"/>
    <d v="2026-05-12T00:00:00"/>
    <s v="Delivered"/>
    <n v="21"/>
    <n v="0"/>
    <x v="0"/>
    <n v="1"/>
    <s v="Low"/>
  </r>
  <r>
    <s v="SHP-100275"/>
    <x v="37"/>
    <x v="5"/>
    <s v="Apex Supplies"/>
    <x v="0"/>
    <x v="1"/>
    <s v="Standard"/>
    <d v="2026-05-12T00:00:00"/>
    <d v="2026-05-12T00:00:00"/>
    <s v="Delivered"/>
    <n v="32"/>
    <n v="0"/>
    <x v="0"/>
    <n v="1"/>
    <s v="Low"/>
  </r>
  <r>
    <s v="SHP-100039"/>
    <x v="37"/>
    <x v="4"/>
    <s v="Target"/>
    <x v="1"/>
    <x v="2"/>
    <s v="Two-Day"/>
    <d v="2026-05-11T00:00:00"/>
    <d v="2026-05-10T00:00:00"/>
    <s v="Delivered"/>
    <n v="5"/>
    <n v="-1"/>
    <x v="0"/>
    <n v="1"/>
    <s v="Low"/>
  </r>
  <r>
    <s v="SHP-100357"/>
    <x v="37"/>
    <x v="2"/>
    <s v="Sunrise Foods"/>
    <x v="0"/>
    <x v="0"/>
    <s v="Two-Day"/>
    <d v="2026-05-11T00:00:00"/>
    <d v="2026-05-11T00:00:00"/>
    <s v="Delivered"/>
    <n v="28"/>
    <n v="0"/>
    <x v="0"/>
    <n v="1"/>
    <s v="Low"/>
  </r>
  <r>
    <s v="SHP-100193"/>
    <x v="37"/>
    <x v="4"/>
    <s v="Home Depot"/>
    <x v="1"/>
    <x v="4"/>
    <s v="Express"/>
    <d v="2026-05-10T00:00:00"/>
    <d v="2026-05-10T00:00:00"/>
    <s v="Delivered"/>
    <n v="23"/>
    <n v="0"/>
    <x v="0"/>
    <n v="1"/>
    <s v="Low"/>
  </r>
  <r>
    <s v="SHP-100018"/>
    <x v="37"/>
    <x v="1"/>
    <s v="Target"/>
    <x v="1"/>
    <x v="5"/>
    <s v="Standard"/>
    <d v="2026-05-12T00:00:00"/>
    <d v="2026-05-12T00:00:00"/>
    <s v="Delivered"/>
    <n v="13"/>
    <n v="0"/>
    <x v="0"/>
    <n v="1"/>
    <s v="Low"/>
  </r>
  <r>
    <s v="SHP-100151"/>
    <x v="37"/>
    <x v="3"/>
    <s v="Target"/>
    <x v="1"/>
    <x v="3"/>
    <s v="Standard"/>
    <d v="2026-05-12T00:00:00"/>
    <d v="2026-05-12T00:00:00"/>
    <s v="Delivered"/>
    <n v="16"/>
    <n v="0"/>
    <x v="0"/>
    <n v="1"/>
    <s v="Low"/>
  </r>
  <r>
    <s v="SHP-100124"/>
    <x v="37"/>
    <x v="1"/>
    <s v="Lowe's"/>
    <x v="1"/>
    <x v="3"/>
    <s v="Express"/>
    <d v="2026-05-10T00:00:00"/>
    <d v="2026-05-10T00:00:00"/>
    <s v="Delivered"/>
    <n v="32"/>
    <n v="0"/>
    <x v="0"/>
    <n v="1"/>
    <s v="Low"/>
  </r>
  <r>
    <s v="SHP-100110"/>
    <x v="37"/>
    <x v="4"/>
    <s v="Home Depot"/>
    <x v="1"/>
    <x v="4"/>
    <s v="Two-Day"/>
    <d v="2026-05-11T00:00:00"/>
    <d v="2026-05-10T00:00:00"/>
    <s v="Delivered"/>
    <n v="33"/>
    <n v="-1"/>
    <x v="0"/>
    <n v="1"/>
    <s v="Low"/>
  </r>
  <r>
    <s v="SHP-100304"/>
    <x v="37"/>
    <x v="2"/>
    <s v="Coca-Cola"/>
    <x v="1"/>
    <x v="3"/>
    <s v="Standard"/>
    <d v="2026-05-12T00:00:00"/>
    <d v="2026-05-12T00:00:00"/>
    <s v="Delivered"/>
    <n v="28"/>
    <n v="0"/>
    <x v="0"/>
    <n v="1"/>
    <s v="Low"/>
  </r>
  <r>
    <s v="SHP-100095"/>
    <x v="38"/>
    <x v="5"/>
    <s v="BlueSky Distributors"/>
    <x v="0"/>
    <x v="4"/>
    <s v="Express"/>
    <d v="2026-05-11T00:00:00"/>
    <d v="2026-05-11T00:00:00"/>
    <s v="Delivered"/>
    <n v="13"/>
    <n v="0"/>
    <x v="0"/>
    <n v="1"/>
    <s v="Low"/>
  </r>
  <r>
    <s v="SHP-100175"/>
    <x v="38"/>
    <x v="3"/>
    <s v="Target"/>
    <x v="1"/>
    <x v="1"/>
    <s v="Two-Day"/>
    <d v="2026-05-12T00:00:00"/>
    <d v="2026-05-12T00:00:00"/>
    <s v="Delivered"/>
    <n v="12"/>
    <n v="0"/>
    <x v="0"/>
    <n v="1"/>
    <s v="Low"/>
  </r>
  <r>
    <s v="SHP-100202"/>
    <x v="38"/>
    <x v="0"/>
    <s v="Coastal Retail"/>
    <x v="0"/>
    <x v="2"/>
    <s v="Standard"/>
    <d v="2026-05-13T00:00:00"/>
    <d v="2026-05-13T00:00:00"/>
    <s v="Delivered"/>
    <n v="22"/>
    <n v="0"/>
    <x v="0"/>
    <n v="1"/>
    <s v="Low"/>
  </r>
  <r>
    <s v="SHP-100109"/>
    <x v="38"/>
    <x v="0"/>
    <s v="Home Depot"/>
    <x v="1"/>
    <x v="3"/>
    <s v="Standard"/>
    <d v="2026-05-13T00:00:00"/>
    <d v="2026-05-13T00:00:00"/>
    <s v="Delivered"/>
    <n v="19"/>
    <n v="0"/>
    <x v="0"/>
    <n v="1"/>
    <s v="Low"/>
  </r>
  <r>
    <s v="SHP-100364"/>
    <x v="38"/>
    <x v="3"/>
    <s v="BlueSky Distributors"/>
    <x v="0"/>
    <x v="0"/>
    <s v="Express"/>
    <d v="2026-05-11T00:00:00"/>
    <d v="2026-05-11T00:00:00"/>
    <s v="Delivered"/>
    <n v="34"/>
    <n v="0"/>
    <x v="0"/>
    <n v="1"/>
    <s v="Low"/>
  </r>
  <r>
    <s v="SHP-100063"/>
    <x v="38"/>
    <x v="5"/>
    <s v="Home Depot"/>
    <x v="1"/>
    <x v="0"/>
    <s v="Two-Day"/>
    <d v="2026-05-12T00:00:00"/>
    <d v="2026-05-12T00:00:00"/>
    <s v="Delivered"/>
    <n v="2"/>
    <n v="0"/>
    <x v="0"/>
    <n v="1"/>
    <s v="Low"/>
  </r>
  <r>
    <s v="SHP-100321"/>
    <x v="39"/>
    <x v="4"/>
    <s v="Home Depot"/>
    <x v="1"/>
    <x v="2"/>
    <s v="Express"/>
    <d v="2026-05-12T00:00:00"/>
    <d v="2026-05-12T00:00:00"/>
    <s v="Delivered"/>
    <n v="27"/>
    <n v="0"/>
    <x v="0"/>
    <n v="1"/>
    <s v="Low"/>
  </r>
  <r>
    <s v="SHP-100116"/>
    <x v="39"/>
    <x v="1"/>
    <s v="Walmart"/>
    <x v="1"/>
    <x v="4"/>
    <s v="Standard"/>
    <d v="2026-05-14T00:00:00"/>
    <d v="2026-05-14T00:00:00"/>
    <s v="Delivered"/>
    <n v="26"/>
    <n v="0"/>
    <x v="0"/>
    <n v="1"/>
    <s v="Low"/>
  </r>
  <r>
    <s v="SHP-100257"/>
    <x v="39"/>
    <x v="0"/>
    <s v="Target"/>
    <x v="1"/>
    <x v="1"/>
    <s v="Two-Day"/>
    <d v="2026-05-13T00:00:00"/>
    <d v="2026-05-13T00:00:00"/>
    <s v="Delivered"/>
    <n v="33"/>
    <n v="0"/>
    <x v="0"/>
    <n v="1"/>
    <s v="Low"/>
  </r>
  <r>
    <s v="SHP-100353"/>
    <x v="39"/>
    <x v="4"/>
    <s v="RegionalGrocer Co"/>
    <x v="0"/>
    <x v="0"/>
    <s v="Express"/>
    <d v="2026-05-12T00:00:00"/>
    <d v="2026-05-12T00:00:00"/>
    <s v="Delivered"/>
    <n v="32"/>
    <n v="0"/>
    <x v="0"/>
    <n v="1"/>
    <s v="Low"/>
  </r>
  <r>
    <s v="SHP-100055"/>
    <x v="39"/>
    <x v="3"/>
    <s v="Coastal Retail"/>
    <x v="0"/>
    <x v="4"/>
    <s v="Express"/>
    <d v="2026-05-12T00:00:00"/>
    <d v="2026-05-11T00:00:00"/>
    <s v="Delivered"/>
    <n v="8"/>
    <n v="-1"/>
    <x v="0"/>
    <n v="1"/>
    <s v="Low"/>
  </r>
  <r>
    <s v="SHP-100035"/>
    <x v="39"/>
    <x v="2"/>
    <s v="Apex Supplies"/>
    <x v="0"/>
    <x v="3"/>
    <s v="Two-Day"/>
    <d v="2026-05-13T00:00:00"/>
    <d v="2026-05-15T00:00:00"/>
    <s v="Late"/>
    <n v="34"/>
    <n v="2"/>
    <x v="1"/>
    <n v="0"/>
    <s v="Medium"/>
  </r>
  <r>
    <s v="SHP-100404"/>
    <x v="39"/>
    <x v="2"/>
    <s v="MidwestParts LLC"/>
    <x v="0"/>
    <x v="1"/>
    <s v="Express"/>
    <d v="2026-05-12T00:00:00"/>
    <d v="2026-05-12T00:00:00"/>
    <s v="Delivered"/>
    <n v="6"/>
    <n v="0"/>
    <x v="0"/>
    <n v="1"/>
    <s v="Low"/>
  </r>
  <r>
    <s v="SHP-100226"/>
    <x v="39"/>
    <x v="0"/>
    <s v="Walmart"/>
    <x v="1"/>
    <x v="0"/>
    <s v="Standard"/>
    <d v="2026-05-14T00:00:00"/>
    <d v="2026-05-14T00:00:00"/>
    <s v="Delivered"/>
    <n v="35"/>
    <n v="0"/>
    <x v="0"/>
    <n v="1"/>
    <s v="Low"/>
  </r>
  <r>
    <s v="SHP-100282"/>
    <x v="40"/>
    <x v="4"/>
    <s v="Northgate Mfg"/>
    <x v="0"/>
    <x v="0"/>
    <s v="Express"/>
    <d v="2026-05-13T00:00:00"/>
    <d v="2026-05-13T00:00:00"/>
    <s v="Delivered"/>
    <n v="6"/>
    <n v="0"/>
    <x v="0"/>
    <n v="1"/>
    <s v="Low"/>
  </r>
  <r>
    <s v="SHP-100061"/>
    <x v="40"/>
    <x v="4"/>
    <s v="Coastal Retail"/>
    <x v="0"/>
    <x v="5"/>
    <s v="Two-Day"/>
    <d v="2026-05-14T00:00:00"/>
    <d v="2026-05-14T00:00:00"/>
    <s v="Delivered"/>
    <n v="14"/>
    <n v="0"/>
    <x v="0"/>
    <n v="1"/>
    <s v="Low"/>
  </r>
  <r>
    <s v="SHP-100196"/>
    <x v="40"/>
    <x v="4"/>
    <s v="Coastal Retail"/>
    <x v="0"/>
    <x v="2"/>
    <s v="Standard"/>
    <d v="2026-05-15T00:00:00"/>
    <d v="2026-05-15T00:00:00"/>
    <s v="Delivered"/>
    <n v="4"/>
    <n v="0"/>
    <x v="0"/>
    <n v="1"/>
    <s v="Low"/>
  </r>
  <r>
    <s v="SHP-100309"/>
    <x v="40"/>
    <x v="5"/>
    <s v="Coastal Retail"/>
    <x v="0"/>
    <x v="5"/>
    <s v="Two-Day"/>
    <d v="2026-05-14T00:00:00"/>
    <d v="2026-05-14T00:00:00"/>
    <s v="Delivered"/>
    <n v="34"/>
    <n v="0"/>
    <x v="0"/>
    <n v="1"/>
    <s v="Low"/>
  </r>
  <r>
    <s v="SHP-100231"/>
    <x v="40"/>
    <x v="5"/>
    <s v="RegionalGrocer Co"/>
    <x v="0"/>
    <x v="3"/>
    <s v="Standard"/>
    <d v="2026-05-15T00:00:00"/>
    <d v="2026-05-15T00:00:00"/>
    <s v="Delivered"/>
    <n v="39"/>
    <n v="0"/>
    <x v="0"/>
    <n v="1"/>
    <s v="Low"/>
  </r>
  <r>
    <s v="SHP-100186"/>
    <x v="40"/>
    <x v="5"/>
    <s v="Home Depot"/>
    <x v="1"/>
    <x v="4"/>
    <s v="Standard"/>
    <d v="2026-05-15T00:00:00"/>
    <d v="2026-05-14T00:00:00"/>
    <s v="Delivered"/>
    <n v="30"/>
    <n v="-1"/>
    <x v="0"/>
    <n v="1"/>
    <s v="Low"/>
  </r>
  <r>
    <s v="SHP-100192"/>
    <x v="40"/>
    <x v="4"/>
    <s v="Northgate Mfg"/>
    <x v="0"/>
    <x v="5"/>
    <s v="Two-Day"/>
    <d v="2026-05-14T00:00:00"/>
    <d v="2026-05-14T00:00:00"/>
    <s v="Delivered"/>
    <n v="10"/>
    <n v="0"/>
    <x v="0"/>
    <n v="1"/>
    <s v="Low"/>
  </r>
  <r>
    <s v="SHP-100158"/>
    <x v="41"/>
    <x v="0"/>
    <s v="Coastal Retail"/>
    <x v="0"/>
    <x v="0"/>
    <s v="Standard"/>
    <d v="2026-05-16T00:00:00"/>
    <d v="2026-05-16T00:00:00"/>
    <s v="Delivered"/>
    <n v="39"/>
    <n v="0"/>
    <x v="0"/>
    <n v="1"/>
    <s v="Low"/>
  </r>
  <r>
    <s v="SHP-100351"/>
    <x v="41"/>
    <x v="0"/>
    <s v="Lowe's"/>
    <x v="1"/>
    <x v="3"/>
    <s v="Express"/>
    <d v="2026-05-14T00:00:00"/>
    <d v="2026-05-14T00:00:00"/>
    <s v="Delivered"/>
    <n v="22"/>
    <n v="0"/>
    <x v="0"/>
    <n v="1"/>
    <s v="Low"/>
  </r>
  <r>
    <s v="SHP-100340"/>
    <x v="42"/>
    <x v="3"/>
    <s v="MidwestParts LLC"/>
    <x v="0"/>
    <x v="0"/>
    <s v="Standard"/>
    <d v="2026-05-17T00:00:00"/>
    <d v="2026-05-17T00:00:00"/>
    <s v="Delivered"/>
    <n v="39"/>
    <n v="0"/>
    <x v="0"/>
    <n v="1"/>
    <s v="Low"/>
  </r>
  <r>
    <s v="SHP-100224"/>
    <x v="42"/>
    <x v="0"/>
    <s v="Walmart"/>
    <x v="1"/>
    <x v="1"/>
    <s v="Two-Day"/>
    <d v="2026-05-16T00:00:00"/>
    <d v="2026-05-16T00:00:00"/>
    <s v="Delivered"/>
    <n v="30"/>
    <n v="0"/>
    <x v="0"/>
    <n v="1"/>
    <s v="Low"/>
  </r>
  <r>
    <s v="SHP-100250"/>
    <x v="42"/>
    <x v="2"/>
    <s v="Coastal Retail"/>
    <x v="0"/>
    <x v="2"/>
    <s v="Two-Day"/>
    <d v="2026-05-16T00:00:00"/>
    <d v="2026-05-16T00:00:00"/>
    <s v="Delivered"/>
    <n v="2"/>
    <n v="0"/>
    <x v="0"/>
    <n v="1"/>
    <s v="Low"/>
  </r>
  <r>
    <s v="SHP-100204"/>
    <x v="42"/>
    <x v="5"/>
    <s v="Lowe's"/>
    <x v="1"/>
    <x v="0"/>
    <s v="Standard"/>
    <d v="2026-05-17T00:00:00"/>
    <d v="2026-05-17T00:00:00"/>
    <s v="Delivered"/>
    <n v="15"/>
    <n v="0"/>
    <x v="0"/>
    <n v="1"/>
    <s v="Low"/>
  </r>
  <r>
    <s v="SHP-100188"/>
    <x v="42"/>
    <x v="3"/>
    <s v="MidwestParts LLC"/>
    <x v="0"/>
    <x v="1"/>
    <s v="Two-Day"/>
    <d v="2026-05-16T00:00:00"/>
    <d v="2026-05-16T00:00:00"/>
    <s v="Delivered"/>
    <n v="5"/>
    <n v="0"/>
    <x v="0"/>
    <n v="1"/>
    <s v="Low"/>
  </r>
  <r>
    <s v="SHP-100245"/>
    <x v="43"/>
    <x v="4"/>
    <s v="Sunrise Foods"/>
    <x v="0"/>
    <x v="2"/>
    <s v="Two-Day"/>
    <d v="2026-05-17T00:00:00"/>
    <d v="2026-05-20T00:00:00"/>
    <s v="Late"/>
    <n v="38"/>
    <n v="3"/>
    <x v="1"/>
    <n v="0"/>
    <s v="Medium"/>
  </r>
  <r>
    <s v="SHP-100053"/>
    <x v="43"/>
    <x v="5"/>
    <s v="Lowe's"/>
    <x v="1"/>
    <x v="3"/>
    <s v="Express"/>
    <d v="2026-05-16T00:00:00"/>
    <d v="2026-05-16T00:00:00"/>
    <s v="Delivered"/>
    <n v="35"/>
    <n v="0"/>
    <x v="0"/>
    <n v="1"/>
    <s v="Low"/>
  </r>
  <r>
    <s v="SHP-100005"/>
    <x v="43"/>
    <x v="3"/>
    <s v="MidwestParts LLC"/>
    <x v="0"/>
    <x v="3"/>
    <s v="Express"/>
    <d v="2026-05-16T00:00:00"/>
    <d v="2026-05-16T00:00:00"/>
    <s v="Delivered"/>
    <n v="30"/>
    <n v="0"/>
    <x v="0"/>
    <n v="1"/>
    <s v="Low"/>
  </r>
  <r>
    <s v="SHP-100125"/>
    <x v="43"/>
    <x v="0"/>
    <s v="Sunrise Foods"/>
    <x v="0"/>
    <x v="5"/>
    <s v="Express"/>
    <d v="2026-05-16T00:00:00"/>
    <d v="2026-05-16T00:00:00"/>
    <s v="Delivered"/>
    <n v="25"/>
    <n v="0"/>
    <x v="0"/>
    <n v="1"/>
    <s v="Low"/>
  </r>
  <r>
    <s v="SHP-100094"/>
    <x v="43"/>
    <x v="5"/>
    <s v="Sunrise Foods"/>
    <x v="0"/>
    <x v="5"/>
    <s v="Two-Day"/>
    <d v="2026-05-17T00:00:00"/>
    <d v="2026-05-17T00:00:00"/>
    <s v="Delivered"/>
    <n v="22"/>
    <n v="0"/>
    <x v="0"/>
    <n v="1"/>
    <s v="Low"/>
  </r>
  <r>
    <s v="SHP-100300"/>
    <x v="43"/>
    <x v="1"/>
    <s v="Home Depot"/>
    <x v="1"/>
    <x v="3"/>
    <s v="Express"/>
    <d v="2026-05-16T00:00:00"/>
    <d v="2026-05-16T00:00:00"/>
    <s v="Delivered"/>
    <n v="4"/>
    <n v="0"/>
    <x v="0"/>
    <n v="1"/>
    <s v="Low"/>
  </r>
  <r>
    <s v="SHP-100320"/>
    <x v="44"/>
    <x v="4"/>
    <s v="Sunrise Foods"/>
    <x v="0"/>
    <x v="5"/>
    <s v="Two-Day"/>
    <d v="2026-05-18T00:00:00"/>
    <d v="2026-05-18T00:00:00"/>
    <s v="Delivered"/>
    <n v="32"/>
    <n v="0"/>
    <x v="0"/>
    <n v="1"/>
    <s v="Low"/>
  </r>
  <r>
    <s v="SHP-100143"/>
    <x v="45"/>
    <x v="5"/>
    <s v="Sunrise Foods"/>
    <x v="0"/>
    <x v="3"/>
    <s v="Two-Day"/>
    <d v="2026-05-19T00:00:00"/>
    <d v="2026-05-19T00:00:00"/>
    <s v="Delivered"/>
    <n v="19"/>
    <n v="0"/>
    <x v="0"/>
    <n v="1"/>
    <s v="Low"/>
  </r>
  <r>
    <s v="SHP-100041"/>
    <x v="46"/>
    <x v="0"/>
    <s v="RegionalGrocer Co"/>
    <x v="0"/>
    <x v="3"/>
    <s v="Standard"/>
    <d v="2026-05-21T00:00:00"/>
    <d v="2026-05-21T00:00:00"/>
    <s v="Delivered"/>
    <n v="35"/>
    <n v="0"/>
    <x v="0"/>
    <n v="1"/>
    <s v="Low"/>
  </r>
  <r>
    <s v="SHP-100228"/>
    <x v="46"/>
    <x v="2"/>
    <s v="RegionalGrocer Co"/>
    <x v="0"/>
    <x v="1"/>
    <s v="Standard"/>
    <d v="2026-05-21T00:00:00"/>
    <d v="2026-05-21T00:00:00"/>
    <s v="Delivered"/>
    <n v="29"/>
    <n v="0"/>
    <x v="0"/>
    <n v="1"/>
    <s v="Low"/>
  </r>
  <r>
    <s v="SHP-100134"/>
    <x v="46"/>
    <x v="5"/>
    <s v="Walmart"/>
    <x v="1"/>
    <x v="1"/>
    <s v="Express"/>
    <d v="2026-05-19T00:00:00"/>
    <d v="2026-05-19T00:00:00"/>
    <s v="Delivered"/>
    <n v="27"/>
    <n v="0"/>
    <x v="0"/>
    <n v="1"/>
    <s v="Low"/>
  </r>
  <r>
    <s v="SHP-100390"/>
    <x v="46"/>
    <x v="4"/>
    <s v="Apex Supplies"/>
    <x v="0"/>
    <x v="2"/>
    <s v="Express"/>
    <d v="2026-05-19T00:00:00"/>
    <d v="2026-05-19T00:00:00"/>
    <s v="Delivered"/>
    <n v="38"/>
    <n v="0"/>
    <x v="0"/>
    <n v="1"/>
    <s v="Low"/>
  </r>
  <r>
    <s v="SHP-100152"/>
    <x v="46"/>
    <x v="1"/>
    <s v="Target"/>
    <x v="1"/>
    <x v="4"/>
    <s v="Express"/>
    <d v="2026-05-19T00:00:00"/>
    <d v="2026-05-19T00:00:00"/>
    <s v="Delivered"/>
    <n v="35"/>
    <n v="0"/>
    <x v="0"/>
    <n v="1"/>
    <s v="Low"/>
  </r>
  <r>
    <s v="SHP-100023"/>
    <x v="46"/>
    <x v="2"/>
    <s v="Lowe's"/>
    <x v="1"/>
    <x v="4"/>
    <s v="Two-Day"/>
    <d v="2026-05-20T00:00:00"/>
    <d v="2026-05-20T00:00:00"/>
    <s v="Delivered"/>
    <n v="8"/>
    <n v="0"/>
    <x v="0"/>
    <n v="1"/>
    <s v="Low"/>
  </r>
  <r>
    <s v="SHP-100154"/>
    <x v="46"/>
    <x v="1"/>
    <s v="MidwestParts LLC"/>
    <x v="0"/>
    <x v="1"/>
    <s v="Standard"/>
    <d v="2026-05-21T00:00:00"/>
    <d v="2026-05-21T00:00:00"/>
    <s v="Delivered"/>
    <n v="16"/>
    <n v="0"/>
    <x v="0"/>
    <n v="1"/>
    <s v="Low"/>
  </r>
  <r>
    <s v="SHP-100302"/>
    <x v="47"/>
    <x v="5"/>
    <s v="MidwestParts LLC"/>
    <x v="0"/>
    <x v="4"/>
    <s v="Express"/>
    <d v="2026-05-20T00:00:00"/>
    <d v="2026-05-19T00:00:00"/>
    <s v="Delivered"/>
    <n v="35"/>
    <n v="-1"/>
    <x v="0"/>
    <n v="1"/>
    <s v="Low"/>
  </r>
  <r>
    <s v="SHP-100078"/>
    <x v="47"/>
    <x v="0"/>
    <s v="Sunrise Foods"/>
    <x v="0"/>
    <x v="1"/>
    <s v="Express"/>
    <d v="2026-05-20T00:00:00"/>
    <d v="2026-05-19T00:00:00"/>
    <s v="Delivered"/>
    <n v="27"/>
    <n v="-1"/>
    <x v="0"/>
    <n v="1"/>
    <s v="Low"/>
  </r>
  <r>
    <s v="SHP-100273"/>
    <x v="47"/>
    <x v="5"/>
    <s v="Northgate Mfg"/>
    <x v="0"/>
    <x v="4"/>
    <s v="Two-Day"/>
    <d v="2026-05-21T00:00:00"/>
    <d v="2026-05-21T00:00:00"/>
    <s v="Delivered"/>
    <n v="35"/>
    <n v="0"/>
    <x v="0"/>
    <n v="1"/>
    <s v="Low"/>
  </r>
  <r>
    <s v="SHP-100177"/>
    <x v="47"/>
    <x v="3"/>
    <s v="BlueSky Distributors"/>
    <x v="0"/>
    <x v="5"/>
    <s v="Standard"/>
    <d v="2026-05-22T00:00:00"/>
    <d v="2026-05-22T00:00:00"/>
    <s v="Delivered"/>
    <n v="24"/>
    <n v="0"/>
    <x v="0"/>
    <n v="1"/>
    <s v="Low"/>
  </r>
  <r>
    <s v="SHP-100051"/>
    <x v="47"/>
    <x v="5"/>
    <s v="Target"/>
    <x v="1"/>
    <x v="2"/>
    <s v="Standard"/>
    <d v="2026-05-22T00:00:00"/>
    <d v="2026-05-22T00:00:00"/>
    <s v="Delivered"/>
    <n v="15"/>
    <n v="0"/>
    <x v="0"/>
    <n v="1"/>
    <s v="Low"/>
  </r>
  <r>
    <s v="SHP-100270"/>
    <x v="47"/>
    <x v="4"/>
    <s v="Target"/>
    <x v="1"/>
    <x v="5"/>
    <s v="Two-Day"/>
    <d v="2026-05-21T00:00:00"/>
    <d v="2026-05-23T00:00:00"/>
    <s v="Late"/>
    <n v="8"/>
    <n v="2"/>
    <x v="1"/>
    <n v="0"/>
    <s v="High"/>
  </r>
  <r>
    <s v="SHP-100348"/>
    <x v="47"/>
    <x v="1"/>
    <s v="Apex Supplies"/>
    <x v="0"/>
    <x v="0"/>
    <s v="Two-Day"/>
    <d v="2026-05-21T00:00:00"/>
    <d v="2026-05-21T00:00:00"/>
    <s v="Delivered"/>
    <n v="18"/>
    <n v="0"/>
    <x v="0"/>
    <n v="1"/>
    <s v="Low"/>
  </r>
  <r>
    <s v="SHP-100127"/>
    <x v="47"/>
    <x v="3"/>
    <s v="RegionalGrocer Co"/>
    <x v="0"/>
    <x v="2"/>
    <s v="Express"/>
    <d v="2026-05-20T00:00:00"/>
    <d v="2026-05-20T00:00:00"/>
    <s v="Delivered"/>
    <n v="10"/>
    <n v="0"/>
    <x v="0"/>
    <n v="1"/>
    <s v="Low"/>
  </r>
  <r>
    <s v="SHP-100222"/>
    <x v="48"/>
    <x v="4"/>
    <s v="Sunrise Foods"/>
    <x v="0"/>
    <x v="3"/>
    <s v="Two-Day"/>
    <d v="2026-05-22T00:00:00"/>
    <d v="2026-05-22T00:00:00"/>
    <s v="Delivered"/>
    <n v="2"/>
    <n v="0"/>
    <x v="0"/>
    <n v="1"/>
    <s v="Low"/>
  </r>
  <r>
    <s v="SHP-100408"/>
    <x v="48"/>
    <x v="3"/>
    <s v="RegionalGrocer Co"/>
    <x v="0"/>
    <x v="1"/>
    <s v="Standard"/>
    <d v="2026-05-23T00:00:00"/>
    <d v="2026-05-23T00:00:00"/>
    <s v="Delivered"/>
    <n v="24"/>
    <n v="0"/>
    <x v="0"/>
    <n v="1"/>
    <s v="Low"/>
  </r>
  <r>
    <s v="SHP-100071"/>
    <x v="48"/>
    <x v="3"/>
    <s v="Target"/>
    <x v="1"/>
    <x v="0"/>
    <s v="Standard"/>
    <d v="2026-05-23T00:00:00"/>
    <d v="2026-05-23T00:00:00"/>
    <s v="Delivered"/>
    <n v="5"/>
    <n v="0"/>
    <x v="0"/>
    <n v="1"/>
    <s v="Low"/>
  </r>
  <r>
    <s v="SHP-100200"/>
    <x v="48"/>
    <x v="5"/>
    <s v="Home Depot"/>
    <x v="1"/>
    <x v="5"/>
    <s v="Two-Day"/>
    <d v="2026-05-22T00:00:00"/>
    <d v="2026-05-22T00:00:00"/>
    <s v="Delivered"/>
    <n v="39"/>
    <n v="0"/>
    <x v="0"/>
    <n v="1"/>
    <s v="Low"/>
  </r>
  <r>
    <s v="SHP-100015"/>
    <x v="48"/>
    <x v="2"/>
    <s v="MidwestParts LLC"/>
    <x v="0"/>
    <x v="5"/>
    <s v="Standard"/>
    <d v="2026-05-23T00:00:00"/>
    <d v="2026-05-22T00:00:00"/>
    <s v="Delivered"/>
    <n v="34"/>
    <n v="-1"/>
    <x v="0"/>
    <n v="1"/>
    <s v="Low"/>
  </r>
  <r>
    <s v="SHP-100412"/>
    <x v="49"/>
    <x v="0"/>
    <s v="Target"/>
    <x v="1"/>
    <x v="5"/>
    <s v="Express"/>
    <d v="2026-05-22T00:00:00"/>
    <d v="2026-05-22T00:00:00"/>
    <s v="Delivered"/>
    <n v="5"/>
    <n v="0"/>
    <x v="0"/>
    <n v="1"/>
    <s v="Low"/>
  </r>
  <r>
    <s v="SHP-100319"/>
    <x v="49"/>
    <x v="2"/>
    <s v="Coastal Retail"/>
    <x v="0"/>
    <x v="2"/>
    <s v="Standard"/>
    <d v="2026-05-24T00:00:00"/>
    <d v="2026-05-24T00:00:00"/>
    <s v="Delivered"/>
    <n v="19"/>
    <n v="0"/>
    <x v="0"/>
    <n v="1"/>
    <s v="Low"/>
  </r>
  <r>
    <s v="SHP-100388"/>
    <x v="49"/>
    <x v="2"/>
    <s v="RegionalGrocer Co"/>
    <x v="0"/>
    <x v="0"/>
    <s v="Two-Day"/>
    <d v="2026-05-23T00:00:00"/>
    <d v="2026-05-23T00:00:00"/>
    <s v="Delivered"/>
    <n v="18"/>
    <n v="0"/>
    <x v="0"/>
    <n v="1"/>
    <s v="Low"/>
  </r>
  <r>
    <s v="SHP-100140"/>
    <x v="49"/>
    <x v="2"/>
    <s v="Lowe's"/>
    <x v="1"/>
    <x v="3"/>
    <s v="Two-Day"/>
    <d v="2026-05-23T00:00:00"/>
    <d v="2026-05-23T00:00:00"/>
    <s v="Delivered"/>
    <n v="4"/>
    <n v="0"/>
    <x v="0"/>
    <n v="1"/>
    <s v="Low"/>
  </r>
  <r>
    <s v="SHP-100130"/>
    <x v="49"/>
    <x v="3"/>
    <s v="Sunrise Foods"/>
    <x v="0"/>
    <x v="1"/>
    <s v="Express"/>
    <d v="2026-05-22T00:00:00"/>
    <d v="2026-05-22T00:00:00"/>
    <s v="Delivered"/>
    <n v="35"/>
    <n v="0"/>
    <x v="0"/>
    <n v="1"/>
    <s v="Low"/>
  </r>
  <r>
    <s v="SHP-100288"/>
    <x v="50"/>
    <x v="2"/>
    <s v="Coca-Cola"/>
    <x v="1"/>
    <x v="0"/>
    <s v="Two-Day"/>
    <d v="2026-05-24T00:00:00"/>
    <d v="2026-05-24T00:00:00"/>
    <s v="Delivered"/>
    <n v="6"/>
    <n v="0"/>
    <x v="0"/>
    <n v="1"/>
    <s v="Low"/>
  </r>
  <r>
    <s v="SHP-100101"/>
    <x v="50"/>
    <x v="5"/>
    <s v="Sunrise Foods"/>
    <x v="0"/>
    <x v="3"/>
    <s v="Standard"/>
    <d v="2026-05-25T00:00:00"/>
    <d v="2026-05-25T00:00:00"/>
    <s v="Delivered"/>
    <n v="4"/>
    <n v="0"/>
    <x v="0"/>
    <n v="1"/>
    <s v="Low"/>
  </r>
  <r>
    <s v="SHP-100332"/>
    <x v="50"/>
    <x v="5"/>
    <s v="MidwestParts LLC"/>
    <x v="0"/>
    <x v="3"/>
    <s v="Express"/>
    <d v="2026-05-23T00:00:00"/>
    <d v="2026-05-23T00:00:00"/>
    <s v="Delivered"/>
    <n v="15"/>
    <n v="0"/>
    <x v="0"/>
    <n v="1"/>
    <s v="Low"/>
  </r>
  <r>
    <s v="SHP-100301"/>
    <x v="51"/>
    <x v="3"/>
    <s v="Sunrise Foods"/>
    <x v="0"/>
    <x v="3"/>
    <s v="Express"/>
    <d v="2026-05-24T00:00:00"/>
    <d v="2026-05-24T00:00:00"/>
    <s v="Delivered"/>
    <n v="27"/>
    <n v="0"/>
    <x v="0"/>
    <n v="1"/>
    <s v="Low"/>
  </r>
  <r>
    <s v="SHP-100115"/>
    <x v="51"/>
    <x v="2"/>
    <s v="Home Depot"/>
    <x v="1"/>
    <x v="0"/>
    <s v="Express"/>
    <d v="2026-05-24T00:00:00"/>
    <d v="2026-05-24T00:00:00"/>
    <s v="Delivered"/>
    <n v="26"/>
    <n v="0"/>
    <x v="0"/>
    <n v="1"/>
    <s v="Low"/>
  </r>
  <r>
    <s v="SHP-100312"/>
    <x v="51"/>
    <x v="1"/>
    <s v="RegionalGrocer Co"/>
    <x v="0"/>
    <x v="2"/>
    <s v="Express"/>
    <d v="2026-05-24T00:00:00"/>
    <d v="2026-05-24T00:00:00"/>
    <s v="Delivered"/>
    <n v="35"/>
    <n v="0"/>
    <x v="0"/>
    <n v="1"/>
    <s v="Low"/>
  </r>
  <r>
    <s v="SHP-100027"/>
    <x v="51"/>
    <x v="1"/>
    <s v="Sunrise Foods"/>
    <x v="0"/>
    <x v="0"/>
    <s v="Express"/>
    <d v="2026-05-24T00:00:00"/>
    <d v="2026-05-24T00:00:00"/>
    <s v="Delivered"/>
    <n v="28"/>
    <n v="0"/>
    <x v="0"/>
    <n v="1"/>
    <s v="Low"/>
  </r>
  <r>
    <s v="SHP-100050"/>
    <x v="51"/>
    <x v="3"/>
    <s v="Target"/>
    <x v="1"/>
    <x v="2"/>
    <s v="Express"/>
    <d v="2026-05-24T00:00:00"/>
    <d v="2026-05-24T00:00:00"/>
    <s v="Delivered"/>
    <n v="16"/>
    <n v="0"/>
    <x v="0"/>
    <n v="1"/>
    <s v="Low"/>
  </r>
  <r>
    <s v="SHP-100220"/>
    <x v="52"/>
    <x v="1"/>
    <s v="RegionalGrocer Co"/>
    <x v="0"/>
    <x v="0"/>
    <s v="Two-Day"/>
    <d v="2026-05-26T00:00:00"/>
    <d v="2026-05-26T00:00:00"/>
    <s v="Delivered"/>
    <n v="34"/>
    <n v="0"/>
    <x v="0"/>
    <n v="1"/>
    <s v="Low"/>
  </r>
  <r>
    <s v="SHP-100271"/>
    <x v="52"/>
    <x v="0"/>
    <s v="Walmart"/>
    <x v="1"/>
    <x v="4"/>
    <s v="Express"/>
    <d v="2026-05-25T00:00:00"/>
    <d v="2026-05-25T00:00:00"/>
    <s v="Delivered"/>
    <n v="27"/>
    <n v="0"/>
    <x v="0"/>
    <n v="1"/>
    <s v="Low"/>
  </r>
  <r>
    <s v="SHP-100022"/>
    <x v="53"/>
    <x v="0"/>
    <s v="Lowe's"/>
    <x v="1"/>
    <x v="5"/>
    <s v="Two-Day"/>
    <d v="2026-05-27T00:00:00"/>
    <d v="2026-05-26T00:00:00"/>
    <s v="Delivered"/>
    <n v="13"/>
    <n v="-1"/>
    <x v="0"/>
    <n v="1"/>
    <s v="Low"/>
  </r>
  <r>
    <s v="SHP-100384"/>
    <x v="53"/>
    <x v="2"/>
    <s v="RegionalGrocer Co"/>
    <x v="0"/>
    <x v="2"/>
    <s v="Two-Day"/>
    <d v="2026-05-27T00:00:00"/>
    <d v="2026-05-27T00:00:00"/>
    <s v="Delivered"/>
    <n v="14"/>
    <n v="0"/>
    <x v="0"/>
    <n v="1"/>
    <s v="Low"/>
  </r>
  <r>
    <s v="SHP-100013"/>
    <x v="53"/>
    <x v="1"/>
    <s v="Lowe's"/>
    <x v="1"/>
    <x v="2"/>
    <s v="Two-Day"/>
    <d v="2026-05-27T00:00:00"/>
    <d v="2026-05-27T00:00:00"/>
    <s v="Delivered"/>
    <n v="15"/>
    <n v="0"/>
    <x v="0"/>
    <n v="1"/>
    <s v="Low"/>
  </r>
  <r>
    <s v="SHP-100046"/>
    <x v="53"/>
    <x v="0"/>
    <s v="BlueSky Distributors"/>
    <x v="0"/>
    <x v="4"/>
    <s v="Two-Day"/>
    <d v="2026-05-27T00:00:00"/>
    <d v="2026-05-27T00:00:00"/>
    <s v="Delivered"/>
    <n v="10"/>
    <n v="0"/>
    <x v="0"/>
    <n v="1"/>
    <s v="Low"/>
  </r>
  <r>
    <s v="SHP-100138"/>
    <x v="53"/>
    <x v="5"/>
    <s v="Coastal Retail"/>
    <x v="0"/>
    <x v="1"/>
    <s v="Two-Day"/>
    <d v="2026-05-27T00:00:00"/>
    <d v="2026-05-27T00:00:00"/>
    <s v="Delivered"/>
    <n v="20"/>
    <n v="0"/>
    <x v="0"/>
    <n v="1"/>
    <s v="Low"/>
  </r>
  <r>
    <s v="SHP-100168"/>
    <x v="53"/>
    <x v="4"/>
    <s v="BlueSky Distributors"/>
    <x v="0"/>
    <x v="3"/>
    <s v="Express"/>
    <d v="2026-05-26T00:00:00"/>
    <d v="2026-05-26T00:00:00"/>
    <s v="Delivered"/>
    <n v="10"/>
    <n v="0"/>
    <x v="0"/>
    <n v="1"/>
    <s v="Low"/>
  </r>
  <r>
    <s v="SHP-100345"/>
    <x v="54"/>
    <x v="3"/>
    <s v="Target"/>
    <x v="1"/>
    <x v="3"/>
    <s v="Standard"/>
    <d v="2026-05-29T00:00:00"/>
    <d v="2026-05-29T00:00:00"/>
    <s v="Delivered"/>
    <n v="27"/>
    <n v="0"/>
    <x v="0"/>
    <n v="1"/>
    <s v="Low"/>
  </r>
  <r>
    <s v="SHP-100349"/>
    <x v="54"/>
    <x v="4"/>
    <s v="Target"/>
    <x v="1"/>
    <x v="3"/>
    <s v="Standard"/>
    <d v="2026-05-29T00:00:00"/>
    <d v="2026-05-29T00:00:00"/>
    <s v="Delivered"/>
    <n v="5"/>
    <n v="0"/>
    <x v="0"/>
    <n v="1"/>
    <s v="Low"/>
  </r>
  <r>
    <s v="SHP-100017"/>
    <x v="54"/>
    <x v="2"/>
    <s v="RegionalGrocer Co"/>
    <x v="0"/>
    <x v="3"/>
    <s v="Express"/>
    <d v="2026-05-27T00:00:00"/>
    <d v="2026-05-27T00:00:00"/>
    <s v="Delivered"/>
    <n v="17"/>
    <n v="0"/>
    <x v="0"/>
    <n v="1"/>
    <s v="Low"/>
  </r>
  <r>
    <s v="SHP-100260"/>
    <x v="54"/>
    <x v="5"/>
    <s v="Apex Supplies"/>
    <x v="0"/>
    <x v="3"/>
    <s v="Standard"/>
    <d v="2026-05-29T00:00:00"/>
    <d v="2026-05-29T00:00:00"/>
    <s v="Delivered"/>
    <n v="24"/>
    <n v="0"/>
    <x v="0"/>
    <n v="1"/>
    <s v="Low"/>
  </r>
  <r>
    <s v="SHP-100166"/>
    <x v="54"/>
    <x v="1"/>
    <s v="Lowe's"/>
    <x v="1"/>
    <x v="4"/>
    <s v="Two-Day"/>
    <d v="2026-05-28T00:00:00"/>
    <d v="2026-05-28T00:00:00"/>
    <s v="Delivered"/>
    <n v="36"/>
    <n v="0"/>
    <x v="0"/>
    <n v="1"/>
    <s v="Low"/>
  </r>
  <r>
    <s v="SHP-100330"/>
    <x v="54"/>
    <x v="3"/>
    <s v="Apex Supplies"/>
    <x v="0"/>
    <x v="2"/>
    <s v="Two-Day"/>
    <d v="2026-05-28T00:00:00"/>
    <d v="2026-05-27T00:00:00"/>
    <s v="Delivered"/>
    <n v="7"/>
    <n v="-1"/>
    <x v="0"/>
    <n v="1"/>
    <s v="Low"/>
  </r>
  <r>
    <s v="SHP-100230"/>
    <x v="54"/>
    <x v="3"/>
    <s v="BlueSky Distributors"/>
    <x v="0"/>
    <x v="4"/>
    <s v="Standard"/>
    <d v="2026-05-29T00:00:00"/>
    <d v="2026-05-29T00:00:00"/>
    <s v="Delivered"/>
    <n v="35"/>
    <n v="0"/>
    <x v="0"/>
    <n v="1"/>
    <s v="Low"/>
  </r>
  <r>
    <s v="SHP-100164"/>
    <x v="55"/>
    <x v="2"/>
    <s v="Home Depot"/>
    <x v="1"/>
    <x v="4"/>
    <s v="Two-Day"/>
    <d v="2026-05-29T00:00:00"/>
    <d v="2026-05-30T00:00:00"/>
    <s v="Late"/>
    <n v="5"/>
    <n v="1"/>
    <x v="1"/>
    <n v="0"/>
    <s v="High"/>
  </r>
  <r>
    <s v="SHP-100209"/>
    <x v="55"/>
    <x v="0"/>
    <s v="RegionalGrocer Co"/>
    <x v="0"/>
    <x v="2"/>
    <s v="Two-Day"/>
    <d v="2026-05-29T00:00:00"/>
    <d v="2026-05-29T00:00:00"/>
    <s v="Delivered"/>
    <n v="25"/>
    <n v="0"/>
    <x v="0"/>
    <n v="1"/>
    <s v="Low"/>
  </r>
  <r>
    <s v="SHP-100365"/>
    <x v="55"/>
    <x v="4"/>
    <s v="RegionalGrocer Co"/>
    <x v="0"/>
    <x v="4"/>
    <s v="Standard"/>
    <d v="2026-05-30T00:00:00"/>
    <d v="2026-05-30T00:00:00"/>
    <s v="Delivered"/>
    <n v="5"/>
    <n v="0"/>
    <x v="0"/>
    <n v="1"/>
    <s v="Low"/>
  </r>
  <r>
    <s v="SHP-100207"/>
    <x v="55"/>
    <x v="2"/>
    <s v="Coastal Retail"/>
    <x v="0"/>
    <x v="0"/>
    <s v="Two-Day"/>
    <d v="2026-05-29T00:00:00"/>
    <d v="2026-05-30T00:00:00"/>
    <s v="Late"/>
    <n v="29"/>
    <n v="1"/>
    <x v="1"/>
    <n v="0"/>
    <s v="Medium"/>
  </r>
  <r>
    <s v="SHP-100179"/>
    <x v="55"/>
    <x v="3"/>
    <s v="Northgate Mfg"/>
    <x v="0"/>
    <x v="3"/>
    <s v="Express"/>
    <d v="2026-05-28T00:00:00"/>
    <d v="2026-05-28T00:00:00"/>
    <s v="Delivered"/>
    <n v="29"/>
    <n v="0"/>
    <x v="0"/>
    <n v="1"/>
    <s v="Low"/>
  </r>
  <r>
    <s v="SHP-100232"/>
    <x v="55"/>
    <x v="2"/>
    <s v="MidwestParts LLC"/>
    <x v="0"/>
    <x v="0"/>
    <s v="Two-Day"/>
    <d v="2026-05-29T00:00:00"/>
    <d v="2026-05-29T00:00:00"/>
    <s v="Delivered"/>
    <n v="23"/>
    <n v="0"/>
    <x v="0"/>
    <n v="1"/>
    <s v="Low"/>
  </r>
  <r>
    <s v="SHP-100234"/>
    <x v="55"/>
    <x v="3"/>
    <s v="Target"/>
    <x v="1"/>
    <x v="5"/>
    <s v="Two-Day"/>
    <d v="2026-05-29T00:00:00"/>
    <d v="2026-05-30T00:00:00"/>
    <s v="Late"/>
    <n v="24"/>
    <n v="1"/>
    <x v="1"/>
    <n v="0"/>
    <s v="High"/>
  </r>
  <r>
    <s v="SHP-100194"/>
    <x v="56"/>
    <x v="1"/>
    <s v="Home Depot"/>
    <x v="1"/>
    <x v="1"/>
    <s v="Express"/>
    <d v="2026-05-29T00:00:00"/>
    <d v="2026-05-30T00:00:00"/>
    <s v="Late"/>
    <n v="6"/>
    <n v="1"/>
    <x v="1"/>
    <n v="0"/>
    <s v="High"/>
  </r>
  <r>
    <s v="SHP-100238"/>
    <x v="56"/>
    <x v="3"/>
    <s v="Lowe's"/>
    <x v="1"/>
    <x v="1"/>
    <s v="Two-Day"/>
    <d v="2026-05-30T00:00:00"/>
    <d v="2026-05-30T00:00:00"/>
    <s v="Delivered"/>
    <n v="32"/>
    <n v="0"/>
    <x v="0"/>
    <n v="1"/>
    <s v="Low"/>
  </r>
  <r>
    <s v="SHP-100239"/>
    <x v="56"/>
    <x v="0"/>
    <s v="Home Depot"/>
    <x v="1"/>
    <x v="0"/>
    <s v="Standard"/>
    <d v="2026-05-31T00:00:00"/>
    <d v="2026-05-31T00:00:00"/>
    <s v="Delivered"/>
    <n v="6"/>
    <n v="0"/>
    <x v="0"/>
    <n v="1"/>
    <s v="Low"/>
  </r>
  <r>
    <s v="SHP-100262"/>
    <x v="56"/>
    <x v="5"/>
    <s v="Home Depot"/>
    <x v="1"/>
    <x v="4"/>
    <s v="Two-Day"/>
    <d v="2026-05-30T00:00:00"/>
    <d v="2026-05-30T00:00:00"/>
    <s v="Delivered"/>
    <n v="40"/>
    <n v="0"/>
    <x v="0"/>
    <n v="1"/>
    <s v="Low"/>
  </r>
  <r>
    <s v="SHP-100033"/>
    <x v="57"/>
    <x v="4"/>
    <s v="Walmart"/>
    <x v="1"/>
    <x v="4"/>
    <s v="Express"/>
    <d v="2026-05-30T00:00:00"/>
    <d v="2026-05-30T00:00:00"/>
    <s v="Delivered"/>
    <n v="36"/>
    <n v="0"/>
    <x v="0"/>
    <n v="1"/>
    <s v="Low"/>
  </r>
  <r>
    <s v="SHP-100391"/>
    <x v="57"/>
    <x v="3"/>
    <s v="BlueSky Distributors"/>
    <x v="0"/>
    <x v="3"/>
    <s v="Two-Day"/>
    <d v="2026-05-31T00:00:00"/>
    <d v="2026-05-31T00:00:00"/>
    <s v="Delivered"/>
    <n v="5"/>
    <n v="0"/>
    <x v="0"/>
    <n v="1"/>
    <s v="Low"/>
  </r>
  <r>
    <s v="SHP-100122"/>
    <x v="57"/>
    <x v="4"/>
    <s v="Sunrise Foods"/>
    <x v="0"/>
    <x v="4"/>
    <s v="Standard"/>
    <d v="2026-06-01T00:00:00"/>
    <d v="2026-06-01T00:00:00"/>
    <s v="Delivered"/>
    <n v="39"/>
    <n v="0"/>
    <x v="0"/>
    <n v="1"/>
    <s v="Low"/>
  </r>
  <r>
    <s v="SHP-100285"/>
    <x v="57"/>
    <x v="1"/>
    <s v="Home Depot"/>
    <x v="1"/>
    <x v="1"/>
    <s v="Express"/>
    <d v="2026-05-30T00:00:00"/>
    <d v="2026-05-30T00:00:00"/>
    <s v="Delivered"/>
    <n v="32"/>
    <n v="0"/>
    <x v="0"/>
    <n v="1"/>
    <s v="Low"/>
  </r>
  <r>
    <s v="SHP-100218"/>
    <x v="57"/>
    <x v="3"/>
    <s v="Coca-Cola"/>
    <x v="1"/>
    <x v="4"/>
    <s v="Two-Day"/>
    <d v="2026-05-31T00:00:00"/>
    <d v="2026-06-03T00:00:00"/>
    <s v="Late"/>
    <n v="35"/>
    <n v="3"/>
    <x v="1"/>
    <n v="0"/>
    <s v="High"/>
  </r>
  <r>
    <s v="SHP-100253"/>
    <x v="57"/>
    <x v="0"/>
    <s v="Northgate Mfg"/>
    <x v="0"/>
    <x v="4"/>
    <s v="Express"/>
    <d v="2026-05-30T00:00:00"/>
    <d v="2026-05-31T00:00:00"/>
    <s v="Late"/>
    <n v="31"/>
    <n v="1"/>
    <x v="1"/>
    <n v="0"/>
    <s v="Medium"/>
  </r>
  <r>
    <s v="SHP-100305"/>
    <x v="57"/>
    <x v="1"/>
    <s v="MidwestParts LLC"/>
    <x v="0"/>
    <x v="0"/>
    <s v="Standard"/>
    <d v="2026-06-01T00:00:00"/>
    <d v="2026-06-01T00:00:00"/>
    <s v="Delivered"/>
    <n v="8"/>
    <n v="0"/>
    <x v="0"/>
    <n v="1"/>
    <s v="Low"/>
  </r>
  <r>
    <s v="SHP-100156"/>
    <x v="57"/>
    <x v="4"/>
    <s v="Lowe's"/>
    <x v="1"/>
    <x v="0"/>
    <s v="Standard"/>
    <d v="2026-06-01T00:00:00"/>
    <d v="2026-06-02T00:00:00"/>
    <s v="Late"/>
    <n v="2"/>
    <n v="1"/>
    <x v="1"/>
    <n v="0"/>
    <s v="High"/>
  </r>
  <r>
    <s v="SHP-100012"/>
    <x v="57"/>
    <x v="0"/>
    <s v="Northgate Mfg"/>
    <x v="0"/>
    <x v="4"/>
    <s v="Express"/>
    <d v="2026-05-30T00:00:00"/>
    <d v="2026-05-30T00:00:00"/>
    <s v="Delivered"/>
    <n v="36"/>
    <n v="0"/>
    <x v="0"/>
    <n v="1"/>
    <s v="Low"/>
  </r>
  <r>
    <s v="SHP-100008"/>
    <x v="57"/>
    <x v="0"/>
    <s v="Home Depot"/>
    <x v="1"/>
    <x v="4"/>
    <s v="Express"/>
    <d v="2026-05-30T00:00:00"/>
    <d v="2026-05-30T00:00:00"/>
    <s v="Delivered"/>
    <n v="24"/>
    <n v="0"/>
    <x v="0"/>
    <n v="1"/>
    <s v="Low"/>
  </r>
  <r>
    <s v="SHP-100030"/>
    <x v="58"/>
    <x v="0"/>
    <s v="MidwestParts LLC"/>
    <x v="0"/>
    <x v="0"/>
    <s v="Express"/>
    <d v="2026-05-31T00:00:00"/>
    <d v="2026-05-30T00:00:00"/>
    <s v="Delivered"/>
    <n v="29"/>
    <n v="-1"/>
    <x v="0"/>
    <n v="1"/>
    <s v="Low"/>
  </r>
  <r>
    <s v="SHP-100195"/>
    <x v="58"/>
    <x v="1"/>
    <s v="Coastal Retail"/>
    <x v="0"/>
    <x v="5"/>
    <s v="Express"/>
    <d v="2026-05-31T00:00:00"/>
    <d v="2026-05-30T00:00:00"/>
    <s v="Delivered"/>
    <n v="3"/>
    <n v="-1"/>
    <x v="0"/>
    <n v="1"/>
    <s v="Low"/>
  </r>
  <r>
    <s v="SHP-100072"/>
    <x v="58"/>
    <x v="4"/>
    <s v="MidwestParts LLC"/>
    <x v="0"/>
    <x v="1"/>
    <s v="Two-Day"/>
    <d v="2026-06-01T00:00:00"/>
    <d v="2026-06-01T00:00:00"/>
    <s v="Delivered"/>
    <n v="27"/>
    <n v="0"/>
    <x v="0"/>
    <n v="1"/>
    <s v="Low"/>
  </r>
  <r>
    <s v="SHP-100117"/>
    <x v="58"/>
    <x v="1"/>
    <s v="Walmart"/>
    <x v="1"/>
    <x v="2"/>
    <s v="Two-Day"/>
    <d v="2026-06-01T00:00:00"/>
    <d v="2026-06-01T00:00:00"/>
    <s v="Delivered"/>
    <n v="24"/>
    <n v="0"/>
    <x v="0"/>
    <n v="1"/>
    <s v="Low"/>
  </r>
  <r>
    <s v="SHP-100150"/>
    <x v="58"/>
    <x v="1"/>
    <s v="Coca-Cola"/>
    <x v="1"/>
    <x v="2"/>
    <s v="Standard"/>
    <d v="2026-06-02T00:00:00"/>
    <d v="2026-06-02T00:00:00"/>
    <s v="Delivered"/>
    <n v="27"/>
    <n v="0"/>
    <x v="0"/>
    <n v="1"/>
    <s v="Low"/>
  </r>
  <r>
    <s v="SHP-100077"/>
    <x v="58"/>
    <x v="3"/>
    <s v="Northgate Mfg"/>
    <x v="0"/>
    <x v="4"/>
    <s v="Standard"/>
    <d v="2026-06-02T00:00:00"/>
    <d v="2026-06-02T00:00:00"/>
    <s v="Delivered"/>
    <n v="21"/>
    <n v="0"/>
    <x v="0"/>
    <n v="1"/>
    <s v="Low"/>
  </r>
  <r>
    <s v="SHP-100294"/>
    <x v="59"/>
    <x v="5"/>
    <s v="MidwestParts LLC"/>
    <x v="0"/>
    <x v="2"/>
    <s v="Two-Day"/>
    <d v="2026-06-02T00:00:00"/>
    <d v="2026-06-02T00:00:00"/>
    <s v="Delivered"/>
    <n v="14"/>
    <n v="0"/>
    <x v="0"/>
    <n v="1"/>
    <s v="Low"/>
  </r>
  <r>
    <s v="SHP-100215"/>
    <x v="59"/>
    <x v="0"/>
    <s v="Target"/>
    <x v="1"/>
    <x v="3"/>
    <s v="Express"/>
    <d v="2026-06-01T00:00:00"/>
    <d v="2026-06-01T00:00:00"/>
    <s v="Delivered"/>
    <n v="31"/>
    <n v="0"/>
    <x v="0"/>
    <n v="1"/>
    <s v="Low"/>
  </r>
  <r>
    <s v="SHP-100106"/>
    <x v="59"/>
    <x v="4"/>
    <s v="Sunrise Foods"/>
    <x v="0"/>
    <x v="2"/>
    <s v="Two-Day"/>
    <d v="2026-06-02T00:00:00"/>
    <d v="2026-06-02T00:00:00"/>
    <s v="Delivered"/>
    <n v="19"/>
    <n v="0"/>
    <x v="0"/>
    <n v="1"/>
    <s v="Low"/>
  </r>
  <r>
    <s v="SHP-100293"/>
    <x v="60"/>
    <x v="1"/>
    <s v="Coca-Cola"/>
    <x v="1"/>
    <x v="0"/>
    <s v="Standard"/>
    <d v="2026-06-04T00:00:00"/>
    <d v="2026-06-04T00:00:00"/>
    <s v="Delivered"/>
    <n v="39"/>
    <n v="0"/>
    <x v="0"/>
    <n v="1"/>
    <s v="Low"/>
  </r>
  <r>
    <s v="SHP-100358"/>
    <x v="60"/>
    <x v="4"/>
    <s v="Home Depot"/>
    <x v="1"/>
    <x v="4"/>
    <s v="Two-Day"/>
    <d v="2026-06-03T00:00:00"/>
    <d v="2026-06-03T00:00:00"/>
    <s v="Delivered"/>
    <n v="27"/>
    <n v="0"/>
    <x v="0"/>
    <n v="1"/>
    <s v="Low"/>
  </r>
  <r>
    <s v="SHP-100328"/>
    <x v="60"/>
    <x v="4"/>
    <s v="RegionalGrocer Co"/>
    <x v="0"/>
    <x v="3"/>
    <s v="Two-Day"/>
    <d v="2026-06-03T00:00:00"/>
    <d v="2026-06-03T00:00:00"/>
    <s v="Delivered"/>
    <n v="35"/>
    <n v="0"/>
    <x v="0"/>
    <n v="1"/>
    <s v="Low"/>
  </r>
  <r>
    <s v="SHP-100100"/>
    <x v="60"/>
    <x v="3"/>
    <s v="Coastal Retail"/>
    <x v="0"/>
    <x v="1"/>
    <s v="Express"/>
    <d v="2026-06-02T00:00:00"/>
    <d v="2026-06-02T00:00:00"/>
    <s v="Delivered"/>
    <n v="4"/>
    <n v="0"/>
    <x v="0"/>
    <n v="1"/>
    <s v="Low"/>
  </r>
  <r>
    <s v="SHP-100172"/>
    <x v="60"/>
    <x v="1"/>
    <s v="Coca-Cola"/>
    <x v="1"/>
    <x v="0"/>
    <s v="Two-Day"/>
    <d v="2026-06-03T00:00:00"/>
    <d v="2026-06-03T00:00:00"/>
    <s v="Delivered"/>
    <n v="36"/>
    <n v="0"/>
    <x v="0"/>
    <n v="1"/>
    <s v="Low"/>
  </r>
  <r>
    <s v="SHP-100317"/>
    <x v="60"/>
    <x v="2"/>
    <s v="Northgate Mfg"/>
    <x v="0"/>
    <x v="5"/>
    <s v="Standard"/>
    <d v="2026-06-04T00:00:00"/>
    <d v="2026-06-03T00:00:00"/>
    <s v="Delivered"/>
    <n v="20"/>
    <n v="-1"/>
    <x v="0"/>
    <n v="1"/>
    <s v="Low"/>
  </r>
  <r>
    <s v="SHP-100026"/>
    <x v="61"/>
    <x v="3"/>
    <s v="Apex Supplies"/>
    <x v="0"/>
    <x v="0"/>
    <s v="Express"/>
    <d v="2026-06-03T00:00:00"/>
    <d v="2026-06-03T00:00:00"/>
    <s v="Delivered"/>
    <n v="37"/>
    <n v="0"/>
    <x v="0"/>
    <n v="1"/>
    <s v="Low"/>
  </r>
  <r>
    <s v="SHP-100086"/>
    <x v="61"/>
    <x v="2"/>
    <s v="RegionalGrocer Co"/>
    <x v="0"/>
    <x v="3"/>
    <s v="Express"/>
    <d v="2026-06-03T00:00:00"/>
    <d v="2026-06-07T00:00:00"/>
    <s v="Late"/>
    <n v="30"/>
    <n v="4"/>
    <x v="1"/>
    <n v="0"/>
    <s v="Medium"/>
  </r>
  <r>
    <s v="SHP-100371"/>
    <x v="61"/>
    <x v="0"/>
    <s v="Sunrise Foods"/>
    <x v="0"/>
    <x v="3"/>
    <s v="Express"/>
    <d v="2026-06-03T00:00:00"/>
    <d v="2026-06-03T00:00:00"/>
    <s v="Delivered"/>
    <n v="39"/>
    <n v="0"/>
    <x v="0"/>
    <n v="1"/>
    <s v="Low"/>
  </r>
  <r>
    <s v="SHP-100378"/>
    <x v="61"/>
    <x v="1"/>
    <s v="Northgate Mfg"/>
    <x v="0"/>
    <x v="4"/>
    <s v="Express"/>
    <d v="2026-06-03T00:00:00"/>
    <d v="2026-06-03T00:00:00"/>
    <s v="Delivered"/>
    <n v="32"/>
    <n v="0"/>
    <x v="0"/>
    <n v="1"/>
    <s v="Low"/>
  </r>
  <r>
    <s v="SHP-100131"/>
    <x v="61"/>
    <x v="4"/>
    <s v="RegionalGrocer Co"/>
    <x v="0"/>
    <x v="2"/>
    <s v="Two-Day"/>
    <d v="2026-06-04T00:00:00"/>
    <d v="2026-06-04T00:00:00"/>
    <s v="Delivered"/>
    <n v="5"/>
    <n v="0"/>
    <x v="0"/>
    <n v="1"/>
    <s v="Low"/>
  </r>
  <r>
    <s v="SHP-100375"/>
    <x v="61"/>
    <x v="1"/>
    <s v="MidwestParts LLC"/>
    <x v="0"/>
    <x v="4"/>
    <s v="Standard"/>
    <d v="2026-06-05T00:00:00"/>
    <d v="2026-06-05T00:00:00"/>
    <s v="Delivered"/>
    <n v="12"/>
    <n v="0"/>
    <x v="0"/>
    <n v="1"/>
    <s v="Low"/>
  </r>
  <r>
    <s v="SHP-100191"/>
    <x v="62"/>
    <x v="0"/>
    <s v="Northgate Mfg"/>
    <x v="0"/>
    <x v="3"/>
    <s v="Standard"/>
    <d v="2026-06-06T00:00:00"/>
    <d v="2026-06-06T00:00:00"/>
    <s v="Delivered"/>
    <n v="38"/>
    <n v="0"/>
    <x v="0"/>
    <n v="1"/>
    <s v="Low"/>
  </r>
  <r>
    <s v="SHP-100229"/>
    <x v="62"/>
    <x v="4"/>
    <s v="RegionalGrocer Co"/>
    <x v="0"/>
    <x v="0"/>
    <s v="Express"/>
    <d v="2026-06-04T00:00:00"/>
    <d v="2026-06-04T00:00:00"/>
    <s v="Delivered"/>
    <n v="18"/>
    <n v="0"/>
    <x v="0"/>
    <n v="1"/>
    <s v="Low"/>
  </r>
  <r>
    <s v="SHP-100065"/>
    <x v="62"/>
    <x v="0"/>
    <s v="BlueSky Distributors"/>
    <x v="0"/>
    <x v="2"/>
    <s v="Express"/>
    <d v="2026-06-04T00:00:00"/>
    <d v="2026-06-04T00:00:00"/>
    <s v="Delivered"/>
    <n v="1"/>
    <n v="0"/>
    <x v="0"/>
    <n v="1"/>
    <s v="Low"/>
  </r>
  <r>
    <s v="SHP-100311"/>
    <x v="62"/>
    <x v="2"/>
    <s v="Northgate Mfg"/>
    <x v="0"/>
    <x v="4"/>
    <s v="Two-Day"/>
    <d v="2026-06-05T00:00:00"/>
    <d v="2026-06-06T00:00:00"/>
    <s v="Late"/>
    <n v="25"/>
    <n v="1"/>
    <x v="1"/>
    <n v="0"/>
    <s v="Medium"/>
  </r>
  <r>
    <s v="SHP-100121"/>
    <x v="62"/>
    <x v="4"/>
    <s v="Home Depot"/>
    <x v="1"/>
    <x v="2"/>
    <s v="Standard"/>
    <d v="2026-06-06T00:00:00"/>
    <d v="2026-06-06T00:00:00"/>
    <s v="Delivered"/>
    <n v="18"/>
    <n v="0"/>
    <x v="0"/>
    <n v="1"/>
    <s v="Low"/>
  </r>
  <r>
    <s v="SHP-100380"/>
    <x v="62"/>
    <x v="5"/>
    <s v="Target"/>
    <x v="1"/>
    <x v="4"/>
    <s v="Two-Day"/>
    <d v="2026-06-05T00:00:00"/>
    <d v="2026-06-05T00:00:00"/>
    <s v="Delivered"/>
    <n v="8"/>
    <n v="0"/>
    <x v="0"/>
    <n v="1"/>
    <s v="Low"/>
  </r>
  <r>
    <s v="SHP-100350"/>
    <x v="62"/>
    <x v="5"/>
    <s v="Lowe's"/>
    <x v="1"/>
    <x v="0"/>
    <s v="Two-Day"/>
    <d v="2026-06-05T00:00:00"/>
    <d v="2026-06-05T00:00:00"/>
    <s v="Delivered"/>
    <n v="7"/>
    <n v="0"/>
    <x v="0"/>
    <n v="1"/>
    <s v="Low"/>
  </r>
  <r>
    <s v="SHP-100221"/>
    <x v="63"/>
    <x v="5"/>
    <s v="Home Depot"/>
    <x v="1"/>
    <x v="5"/>
    <s v="Two-Day"/>
    <d v="2026-06-06T00:00:00"/>
    <d v="2026-06-06T00:00:00"/>
    <s v="Delivered"/>
    <n v="2"/>
    <n v="0"/>
    <x v="0"/>
    <n v="1"/>
    <s v="Low"/>
  </r>
  <r>
    <s v="SHP-100162"/>
    <x v="63"/>
    <x v="1"/>
    <s v="Coastal Retail"/>
    <x v="0"/>
    <x v="3"/>
    <s v="Express"/>
    <d v="2026-06-05T00:00:00"/>
    <d v="2026-06-05T00:00:00"/>
    <s v="Delivered"/>
    <n v="34"/>
    <n v="0"/>
    <x v="0"/>
    <n v="1"/>
    <s v="Low"/>
  </r>
  <r>
    <s v="SHP-100410"/>
    <x v="63"/>
    <x v="3"/>
    <s v="MidwestParts LLC"/>
    <x v="0"/>
    <x v="5"/>
    <s v="Express"/>
    <d v="2026-06-05T00:00:00"/>
    <d v="2026-06-05T00:00:00"/>
    <s v="Delivered"/>
    <n v="26"/>
    <n v="0"/>
    <x v="0"/>
    <n v="1"/>
    <s v="Low"/>
  </r>
  <r>
    <s v="SHP-100296"/>
    <x v="63"/>
    <x v="1"/>
    <s v="Home Depot"/>
    <x v="1"/>
    <x v="3"/>
    <s v="Two-Day"/>
    <d v="2026-06-06T00:00:00"/>
    <d v="2026-06-06T00:00:00"/>
    <s v="Delivered"/>
    <n v="11"/>
    <n v="0"/>
    <x v="0"/>
    <n v="1"/>
    <s v="Low"/>
  </r>
  <r>
    <s v="SHP-100298"/>
    <x v="64"/>
    <x v="4"/>
    <s v="Walmart"/>
    <x v="1"/>
    <x v="4"/>
    <s v="Standard"/>
    <d v="2026-06-08T00:00:00"/>
    <d v="2026-06-08T00:00:00"/>
    <s v="Delivered"/>
    <n v="36"/>
    <n v="0"/>
    <x v="0"/>
    <n v="1"/>
    <s v="Low"/>
  </r>
  <r>
    <s v="SHP-100264"/>
    <x v="64"/>
    <x v="1"/>
    <s v="RegionalGrocer Co"/>
    <x v="0"/>
    <x v="0"/>
    <s v="Standard"/>
    <d v="2026-06-08T00:00:00"/>
    <d v="2026-06-08T00:00:00"/>
    <s v="Delivered"/>
    <n v="3"/>
    <n v="0"/>
    <x v="0"/>
    <n v="1"/>
    <s v="Low"/>
  </r>
  <r>
    <s v="SHP-100189"/>
    <x v="64"/>
    <x v="1"/>
    <s v="Northgate Mfg"/>
    <x v="0"/>
    <x v="3"/>
    <s v="Two-Day"/>
    <d v="2026-06-07T00:00:00"/>
    <d v="2026-06-07T00:00:00"/>
    <s v="Delivered"/>
    <n v="23"/>
    <n v="0"/>
    <x v="0"/>
    <n v="1"/>
    <s v="Low"/>
  </r>
  <r>
    <s v="SHP-100415"/>
    <x v="65"/>
    <x v="0"/>
    <s v="Sunrise Foods"/>
    <x v="0"/>
    <x v="1"/>
    <s v="Two-Day"/>
    <d v="2026-06-08T00:00:00"/>
    <d v="2026-06-08T00:00:00"/>
    <s v="Delivered"/>
    <n v="11"/>
    <n v="0"/>
    <x v="0"/>
    <n v="1"/>
    <s v="Low"/>
  </r>
  <r>
    <s v="SHP-100265"/>
    <x v="65"/>
    <x v="0"/>
    <s v="BlueSky Distributors"/>
    <x v="0"/>
    <x v="1"/>
    <s v="Express"/>
    <d v="2026-06-07T00:00:00"/>
    <d v="2026-06-07T00:00:00"/>
    <s v="Delivered"/>
    <n v="33"/>
    <n v="0"/>
    <x v="0"/>
    <n v="1"/>
    <s v="Low"/>
  </r>
  <r>
    <s v="SHP-100103"/>
    <x v="65"/>
    <x v="1"/>
    <s v="Coastal Retail"/>
    <x v="0"/>
    <x v="5"/>
    <s v="Standard"/>
    <d v="2026-06-09T00:00:00"/>
    <d v="2026-06-08T00:00:00"/>
    <s v="Delivered"/>
    <n v="20"/>
    <n v="-1"/>
    <x v="0"/>
    <n v="1"/>
    <s v="Low"/>
  </r>
  <r>
    <s v="SHP-100066"/>
    <x v="65"/>
    <x v="3"/>
    <s v="MidwestParts LLC"/>
    <x v="0"/>
    <x v="0"/>
    <s v="Standard"/>
    <d v="2026-06-09T00:00:00"/>
    <d v="2026-06-09T00:00:00"/>
    <s v="Delivered"/>
    <n v="8"/>
    <n v="0"/>
    <x v="0"/>
    <n v="1"/>
    <s v="Low"/>
  </r>
  <r>
    <s v="SHP-100087"/>
    <x v="65"/>
    <x v="2"/>
    <s v="Target"/>
    <x v="1"/>
    <x v="4"/>
    <s v="Standard"/>
    <d v="2026-06-09T00:00:00"/>
    <d v="2026-06-09T00:00:00"/>
    <s v="Delivered"/>
    <n v="35"/>
    <n v="0"/>
    <x v="0"/>
    <n v="1"/>
    <s v="Low"/>
  </r>
  <r>
    <s v="SHP-100198"/>
    <x v="65"/>
    <x v="2"/>
    <s v="Sunrise Foods"/>
    <x v="0"/>
    <x v="4"/>
    <s v="Two-Day"/>
    <d v="2026-06-08T00:00:00"/>
    <d v="2026-06-08T00:00:00"/>
    <s v="Delivered"/>
    <n v="19"/>
    <n v="0"/>
    <x v="0"/>
    <n v="1"/>
    <s v="Low"/>
  </r>
  <r>
    <s v="SHP-100113"/>
    <x v="65"/>
    <x v="1"/>
    <s v="Walmart"/>
    <x v="1"/>
    <x v="0"/>
    <s v="Express"/>
    <d v="2026-06-07T00:00:00"/>
    <d v="2026-06-06T00:00:00"/>
    <s v="Delivered"/>
    <n v="12"/>
    <n v="-1"/>
    <x v="0"/>
    <n v="1"/>
    <s v="Low"/>
  </r>
  <r>
    <s v="SHP-100042"/>
    <x v="66"/>
    <x v="2"/>
    <s v="Lowe's"/>
    <x v="1"/>
    <x v="5"/>
    <s v="Two-Day"/>
    <d v="2026-06-09T00:00:00"/>
    <d v="2026-06-12T00:00:00"/>
    <s v="Late"/>
    <n v="7"/>
    <n v="3"/>
    <x v="1"/>
    <n v="0"/>
    <s v="High"/>
  </r>
  <r>
    <s v="SHP-100019"/>
    <x v="66"/>
    <x v="0"/>
    <s v="RegionalGrocer Co"/>
    <x v="0"/>
    <x v="0"/>
    <s v="Two-Day"/>
    <d v="2026-06-09T00:00:00"/>
    <d v="2026-06-09T00:00:00"/>
    <s v="Delivered"/>
    <n v="32"/>
    <n v="0"/>
    <x v="0"/>
    <n v="1"/>
    <s v="Low"/>
  </r>
  <r>
    <s v="SHP-100329"/>
    <x v="66"/>
    <x v="1"/>
    <s v="MidwestParts LLC"/>
    <x v="0"/>
    <x v="3"/>
    <s v="Standard"/>
    <d v="2026-06-10T00:00:00"/>
    <d v="2026-06-10T00:00:00"/>
    <s v="Delivered"/>
    <n v="19"/>
    <n v="0"/>
    <x v="0"/>
    <n v="1"/>
    <s v="Low"/>
  </r>
  <r>
    <s v="SHP-100295"/>
    <x v="66"/>
    <x v="0"/>
    <s v="Northgate Mfg"/>
    <x v="0"/>
    <x v="5"/>
    <s v="Standard"/>
    <d v="2026-06-10T00:00:00"/>
    <d v="2026-06-10T00:00:00"/>
    <s v="Delivered"/>
    <n v="5"/>
    <n v="0"/>
    <x v="0"/>
    <n v="1"/>
    <s v="Low"/>
  </r>
  <r>
    <s v="SHP-100067"/>
    <x v="66"/>
    <x v="4"/>
    <s v="Target"/>
    <x v="1"/>
    <x v="4"/>
    <s v="Two-Day"/>
    <d v="2026-06-09T00:00:00"/>
    <d v="2026-06-09T00:00:00"/>
    <s v="Delivered"/>
    <n v="29"/>
    <n v="0"/>
    <x v="0"/>
    <n v="1"/>
    <s v="Low"/>
  </r>
  <r>
    <s v="SHP-100203"/>
    <x v="66"/>
    <x v="0"/>
    <s v="Northgate Mfg"/>
    <x v="0"/>
    <x v="2"/>
    <s v="Two-Day"/>
    <d v="2026-06-09T00:00:00"/>
    <d v="2026-06-11T00:00:00"/>
    <s v="Late"/>
    <n v="2"/>
    <n v="2"/>
    <x v="1"/>
    <n v="0"/>
    <s v="Medium"/>
  </r>
  <r>
    <s v="SHP-100236"/>
    <x v="66"/>
    <x v="4"/>
    <s v="Home Depot"/>
    <x v="1"/>
    <x v="5"/>
    <s v="Standard"/>
    <d v="2026-06-10T00:00:00"/>
    <d v="2026-06-10T00:00:00"/>
    <s v="Delivered"/>
    <n v="18"/>
    <n v="0"/>
    <x v="0"/>
    <n v="1"/>
    <s v="Low"/>
  </r>
  <r>
    <s v="SHP-100076"/>
    <x v="67"/>
    <x v="2"/>
    <s v="Target"/>
    <x v="1"/>
    <x v="4"/>
    <s v="Standard"/>
    <d v="2026-06-11T00:00:00"/>
    <d v="2026-06-12T00:00:00"/>
    <s v="Late"/>
    <n v="2"/>
    <n v="1"/>
    <x v="1"/>
    <n v="0"/>
    <s v="High"/>
  </r>
  <r>
    <s v="SHP-100267"/>
    <x v="67"/>
    <x v="1"/>
    <s v="RegionalGrocer Co"/>
    <x v="0"/>
    <x v="5"/>
    <s v="Two-Day"/>
    <d v="2026-06-10T00:00:00"/>
    <d v="2026-06-10T00:00:00"/>
    <s v="Delivered"/>
    <n v="31"/>
    <n v="0"/>
    <x v="0"/>
    <n v="1"/>
    <s v="Low"/>
  </r>
  <r>
    <s v="SHP-100085"/>
    <x v="67"/>
    <x v="3"/>
    <s v="Coastal Retail"/>
    <x v="0"/>
    <x v="3"/>
    <s v="Express"/>
    <d v="2026-06-09T00:00:00"/>
    <d v="2026-06-09T00:00:00"/>
    <s v="Delivered"/>
    <n v="33"/>
    <n v="0"/>
    <x v="0"/>
    <n v="1"/>
    <s v="Low"/>
  </r>
  <r>
    <s v="SHP-100385"/>
    <x v="67"/>
    <x v="0"/>
    <s v="Walmart"/>
    <x v="1"/>
    <x v="5"/>
    <s v="Express"/>
    <d v="2026-06-09T00:00:00"/>
    <d v="2026-06-09T00:00:00"/>
    <s v="Delivered"/>
    <n v="21"/>
    <n v="0"/>
    <x v="0"/>
    <n v="1"/>
    <s v="Low"/>
  </r>
  <r>
    <s v="SHP-100359"/>
    <x v="67"/>
    <x v="1"/>
    <s v="Walmart"/>
    <x v="1"/>
    <x v="1"/>
    <s v="Two-Day"/>
    <d v="2026-06-10T00:00:00"/>
    <d v="2026-06-09T00:00:00"/>
    <s v="Delivered"/>
    <n v="7"/>
    <n v="-1"/>
    <x v="0"/>
    <n v="1"/>
    <s v="Low"/>
  </r>
  <r>
    <s v="SHP-100031"/>
    <x v="68"/>
    <x v="1"/>
    <s v="Home Depot"/>
    <x v="1"/>
    <x v="3"/>
    <s v="Two-Day"/>
    <d v="2026-06-11T00:00:00"/>
    <d v="2026-06-10T00:00:00"/>
    <s v="Delivered"/>
    <n v="16"/>
    <n v="-1"/>
    <x v="0"/>
    <n v="1"/>
    <s v="Low"/>
  </r>
  <r>
    <s v="SHP-100079"/>
    <x v="68"/>
    <x v="5"/>
    <s v="Home Depot"/>
    <x v="1"/>
    <x v="4"/>
    <s v="Standard"/>
    <d v="2026-06-12T00:00:00"/>
    <d v="2026-06-16T00:00:00"/>
    <s v="Late"/>
    <n v="5"/>
    <n v="4"/>
    <x v="1"/>
    <n v="0"/>
    <s v="High"/>
  </r>
  <r>
    <s v="SHP-100108"/>
    <x v="68"/>
    <x v="2"/>
    <s v="Coca-Cola"/>
    <x v="1"/>
    <x v="4"/>
    <s v="Standard"/>
    <d v="2026-06-12T00:00:00"/>
    <d v="2026-06-12T00:00:00"/>
    <s v="Delivered"/>
    <n v="18"/>
    <n v="0"/>
    <x v="0"/>
    <n v="1"/>
    <s v="Low"/>
  </r>
  <r>
    <s v="SHP-100155"/>
    <x v="68"/>
    <x v="5"/>
    <s v="Home Depot"/>
    <x v="1"/>
    <x v="2"/>
    <s v="Express"/>
    <d v="2026-06-10T00:00:00"/>
    <d v="2026-06-10T00:00:00"/>
    <s v="Delivered"/>
    <n v="4"/>
    <n v="0"/>
    <x v="0"/>
    <n v="1"/>
    <s v="Low"/>
  </r>
  <r>
    <s v="SHP-100252"/>
    <x v="68"/>
    <x v="1"/>
    <s v="Northgate Mfg"/>
    <x v="0"/>
    <x v="3"/>
    <s v="Express"/>
    <d v="2026-06-10T00:00:00"/>
    <d v="2026-06-09T00:00:00"/>
    <s v="Delivered"/>
    <n v="31"/>
    <n v="-1"/>
    <x v="0"/>
    <n v="1"/>
    <s v="Low"/>
  </r>
  <r>
    <s v="SHP-100074"/>
    <x v="68"/>
    <x v="5"/>
    <s v="MidwestParts LLC"/>
    <x v="0"/>
    <x v="4"/>
    <s v="Two-Day"/>
    <d v="2026-06-11T00:00:00"/>
    <d v="2026-06-11T00:00:00"/>
    <s v="Delivered"/>
    <n v="32"/>
    <n v="0"/>
    <x v="0"/>
    <n v="1"/>
    <s v="Low"/>
  </r>
  <r>
    <s v="SHP-100159"/>
    <x v="68"/>
    <x v="3"/>
    <s v="Lowe's"/>
    <x v="1"/>
    <x v="0"/>
    <s v="Standard"/>
    <d v="2026-06-12T00:00:00"/>
    <d v="2026-06-12T00:00:00"/>
    <s v="Delivered"/>
    <n v="2"/>
    <n v="0"/>
    <x v="0"/>
    <n v="1"/>
    <s v="Low"/>
  </r>
  <r>
    <s v="SHP-100060"/>
    <x v="69"/>
    <x v="1"/>
    <s v="Coastal Retail"/>
    <x v="0"/>
    <x v="1"/>
    <s v="Express"/>
    <d v="2026-06-11T00:00:00"/>
    <d v="2026-06-11T00:00:00"/>
    <s v="Delivered"/>
    <n v="14"/>
    <n v="0"/>
    <x v="0"/>
    <n v="1"/>
    <s v="Low"/>
  </r>
  <r>
    <s v="SHP-100211"/>
    <x v="69"/>
    <x v="3"/>
    <s v="Northgate Mfg"/>
    <x v="0"/>
    <x v="4"/>
    <s v="Express"/>
    <d v="2026-06-11T00:00:00"/>
    <d v="2026-06-11T00:00:00"/>
    <s v="Delivered"/>
    <n v="34"/>
    <n v="0"/>
    <x v="0"/>
    <n v="1"/>
    <s v="Low"/>
  </r>
  <r>
    <s v="SHP-100043"/>
    <x v="69"/>
    <x v="0"/>
    <s v="Lowe's"/>
    <x v="1"/>
    <x v="3"/>
    <s v="Standard"/>
    <d v="2026-06-13T00:00:00"/>
    <d v="2026-06-13T00:00:00"/>
    <s v="Delivered"/>
    <n v="14"/>
    <n v="0"/>
    <x v="0"/>
    <n v="1"/>
    <s v="Low"/>
  </r>
  <r>
    <s v="SHP-100346"/>
    <x v="69"/>
    <x v="3"/>
    <s v="Walmart"/>
    <x v="1"/>
    <x v="3"/>
    <s v="Express"/>
    <d v="2026-06-11T00:00:00"/>
    <d v="2026-06-13T00:00:00"/>
    <s v="Late"/>
    <n v="25"/>
    <n v="2"/>
    <x v="1"/>
    <n v="0"/>
    <s v="High"/>
  </r>
  <r>
    <s v="SHP-100047"/>
    <x v="69"/>
    <x v="1"/>
    <s v="Walmart"/>
    <x v="1"/>
    <x v="1"/>
    <s v="Two-Day"/>
    <d v="2026-06-12T00:00:00"/>
    <d v="2026-06-13T00:00:00"/>
    <s v="Late"/>
    <n v="3"/>
    <n v="1"/>
    <x v="1"/>
    <n v="0"/>
    <s v="High"/>
  </r>
  <r>
    <s v="SHP-100068"/>
    <x v="69"/>
    <x v="1"/>
    <s v="BlueSky Distributors"/>
    <x v="0"/>
    <x v="5"/>
    <s v="Express"/>
    <d v="2026-06-11T00:00:00"/>
    <d v="2026-06-11T00:00:00"/>
    <s v="Delivered"/>
    <n v="31"/>
    <n v="0"/>
    <x v="0"/>
    <n v="1"/>
    <s v="Low"/>
  </r>
  <r>
    <s v="SHP-100006"/>
    <x v="69"/>
    <x v="1"/>
    <s v="Home Depot"/>
    <x v="1"/>
    <x v="4"/>
    <s v="Standard"/>
    <d v="2026-06-13T00:00:00"/>
    <d v="2026-06-13T00:00:00"/>
    <s v="Delivered"/>
    <n v="24"/>
    <n v="0"/>
    <x v="0"/>
    <n v="1"/>
    <s v="Low"/>
  </r>
  <r>
    <s v="SHP-100367"/>
    <x v="69"/>
    <x v="2"/>
    <s v="Coca-Cola"/>
    <x v="1"/>
    <x v="5"/>
    <s v="Standard"/>
    <d v="2026-06-13T00:00:00"/>
    <d v="2026-06-13T00:00:00"/>
    <s v="Delivered"/>
    <n v="30"/>
    <n v="0"/>
    <x v="0"/>
    <n v="1"/>
    <s v="Low"/>
  </r>
  <r>
    <s v="SHP-100248"/>
    <x v="69"/>
    <x v="3"/>
    <s v="Lowe's"/>
    <x v="1"/>
    <x v="0"/>
    <s v="Two-Day"/>
    <d v="2026-06-12T00:00:00"/>
    <d v="2026-06-12T00:00:00"/>
    <s v="Delivered"/>
    <n v="40"/>
    <n v="0"/>
    <x v="0"/>
    <n v="1"/>
    <s v="Low"/>
  </r>
  <r>
    <s v="SHP-100255"/>
    <x v="70"/>
    <x v="4"/>
    <s v="Target"/>
    <x v="1"/>
    <x v="1"/>
    <s v="Two-Day"/>
    <d v="2026-06-13T00:00:00"/>
    <d v="2026-06-14T00:00:00"/>
    <s v="Late"/>
    <n v="29"/>
    <n v="1"/>
    <x v="1"/>
    <n v="0"/>
    <s v="High"/>
  </r>
  <r>
    <s v="SHP-100002"/>
    <x v="70"/>
    <x v="0"/>
    <s v="Apex Supplies"/>
    <x v="0"/>
    <x v="5"/>
    <s v="Standard"/>
    <d v="2026-06-14T00:00:00"/>
    <d v="2026-06-14T00:00:00"/>
    <s v="Delivered"/>
    <n v="35"/>
    <n v="0"/>
    <x v="0"/>
    <n v="1"/>
    <s v="Low"/>
  </r>
  <r>
    <s v="SHP-100170"/>
    <x v="70"/>
    <x v="1"/>
    <s v="Walmart"/>
    <x v="1"/>
    <x v="5"/>
    <s v="Two-Day"/>
    <d v="2026-06-13T00:00:00"/>
    <d v="2026-06-13T00:00:00"/>
    <s v="Delivered"/>
    <n v="23"/>
    <n v="0"/>
    <x v="0"/>
    <n v="1"/>
    <s v="Low"/>
  </r>
  <r>
    <s v="SHP-100010"/>
    <x v="70"/>
    <x v="0"/>
    <s v="Sunrise Foods"/>
    <x v="0"/>
    <x v="4"/>
    <s v="Express"/>
    <d v="2026-06-12T00:00:00"/>
    <d v="2026-06-12T00:00:00"/>
    <s v="Delivered"/>
    <n v="4"/>
    <n v="0"/>
    <x v="0"/>
    <n v="1"/>
    <s v="Low"/>
  </r>
  <r>
    <s v="SHP-100089"/>
    <x v="71"/>
    <x v="5"/>
    <s v="Sunrise Foods"/>
    <x v="0"/>
    <x v="0"/>
    <s v="Express"/>
    <d v="2026-06-13T00:00:00"/>
    <d v="2026-06-13T00:00:00"/>
    <s v="Delivered"/>
    <n v="2"/>
    <n v="0"/>
    <x v="0"/>
    <n v="1"/>
    <s v="Low"/>
  </r>
  <r>
    <s v="SHP-100157"/>
    <x v="71"/>
    <x v="3"/>
    <s v="RegionalGrocer Co"/>
    <x v="0"/>
    <x v="0"/>
    <s v="Standard"/>
    <d v="2026-06-15T00:00:00"/>
    <d v="2026-06-15T00:00:00"/>
    <s v="Delivered"/>
    <n v="36"/>
    <n v="0"/>
    <x v="0"/>
    <n v="1"/>
    <s v="Low"/>
  </r>
  <r>
    <s v="SHP-100081"/>
    <x v="71"/>
    <x v="0"/>
    <s v="Sunrise Foods"/>
    <x v="0"/>
    <x v="2"/>
    <s v="Standard"/>
    <d v="2026-06-15T00:00:00"/>
    <d v="2026-06-15T00:00:00"/>
    <s v="Delivered"/>
    <n v="17"/>
    <n v="0"/>
    <x v="0"/>
    <n v="1"/>
    <s v="Low"/>
  </r>
  <r>
    <s v="SHP-100393"/>
    <x v="71"/>
    <x v="5"/>
    <s v="Apex Supplies"/>
    <x v="0"/>
    <x v="5"/>
    <s v="Standard"/>
    <d v="2026-06-15T00:00:00"/>
    <d v="2026-06-15T00:00:00"/>
    <s v="Delivered"/>
    <n v="4"/>
    <n v="0"/>
    <x v="0"/>
    <n v="1"/>
    <s v="Low"/>
  </r>
  <r>
    <s v="SHP-100083"/>
    <x v="72"/>
    <x v="3"/>
    <s v="Coastal Retail"/>
    <x v="0"/>
    <x v="3"/>
    <s v="Express"/>
    <d v="2026-06-14T00:00:00"/>
    <d v="2026-06-13T00:00:00"/>
    <s v="Delivered"/>
    <n v="26"/>
    <n v="-1"/>
    <x v="0"/>
    <n v="1"/>
    <s v="Low"/>
  </r>
  <r>
    <s v="SHP-100417"/>
    <x v="72"/>
    <x v="5"/>
    <s v="Apex Supplies"/>
    <x v="0"/>
    <x v="3"/>
    <s v="Express"/>
    <d v="2026-06-14T00:00:00"/>
    <d v="2026-06-14T00:00:00"/>
    <s v="Delivered"/>
    <n v="33"/>
    <n v="0"/>
    <x v="0"/>
    <n v="1"/>
    <s v="Low"/>
  </r>
  <r>
    <s v="SHP-100073"/>
    <x v="72"/>
    <x v="4"/>
    <s v="Coastal Retail"/>
    <x v="0"/>
    <x v="2"/>
    <s v="Standard"/>
    <d v="2026-06-16T00:00:00"/>
    <d v="2026-06-16T00:00:00"/>
    <s v="Delivered"/>
    <n v="23"/>
    <n v="0"/>
    <x v="0"/>
    <n v="1"/>
    <s v="Low"/>
  </r>
  <r>
    <s v="SHP-100112"/>
    <x v="72"/>
    <x v="5"/>
    <s v="Walmart"/>
    <x v="1"/>
    <x v="3"/>
    <s v="Standard"/>
    <d v="2026-06-16T00:00:00"/>
    <d v="2026-06-16T00:00:00"/>
    <s v="Delivered"/>
    <n v="18"/>
    <n v="0"/>
    <x v="0"/>
    <n v="1"/>
    <s v="Low"/>
  </r>
  <r>
    <s v="SHP-100185"/>
    <x v="72"/>
    <x v="3"/>
    <s v="Sunrise Foods"/>
    <x v="0"/>
    <x v="3"/>
    <s v="Express"/>
    <d v="2026-06-14T00:00:00"/>
    <d v="2026-06-14T00:00:00"/>
    <s v="Delivered"/>
    <n v="27"/>
    <n v="0"/>
    <x v="0"/>
    <n v="1"/>
    <s v="Low"/>
  </r>
  <r>
    <s v="SHP-100370"/>
    <x v="72"/>
    <x v="0"/>
    <s v="Lowe's"/>
    <x v="1"/>
    <x v="2"/>
    <s v="Standard"/>
    <d v="2026-06-16T00:00:00"/>
    <d v="2026-06-19T00:00:00"/>
    <s v="Late"/>
    <n v="21"/>
    <n v="3"/>
    <x v="1"/>
    <n v="0"/>
    <s v="High"/>
  </r>
  <r>
    <s v="SHP-100165"/>
    <x v="73"/>
    <x v="0"/>
    <s v="Lowe's"/>
    <x v="1"/>
    <x v="5"/>
    <s v="Two-Day"/>
    <d v="2026-06-16T00:00:00"/>
    <d v="2026-06-16T00:00:00"/>
    <s v="Delivered"/>
    <n v="39"/>
    <n v="0"/>
    <x v="0"/>
    <n v="1"/>
    <s v="Low"/>
  </r>
  <r>
    <s v="SHP-100148"/>
    <x v="73"/>
    <x v="2"/>
    <s v="BlueSky Distributors"/>
    <x v="0"/>
    <x v="2"/>
    <s v="Express"/>
    <d v="2026-06-15T00:00:00"/>
    <d v="2026-06-15T00:00:00"/>
    <s v="Delivered"/>
    <n v="24"/>
    <n v="0"/>
    <x v="0"/>
    <n v="1"/>
    <s v="Low"/>
  </r>
  <r>
    <s v="SHP-100269"/>
    <x v="73"/>
    <x v="1"/>
    <s v="Sunrise Foods"/>
    <x v="0"/>
    <x v="1"/>
    <s v="Two-Day"/>
    <d v="2026-06-16T00:00:00"/>
    <d v="2026-06-16T00:00:00"/>
    <s v="Delivered"/>
    <n v="38"/>
    <n v="0"/>
    <x v="0"/>
    <n v="1"/>
    <s v="Low"/>
  </r>
  <r>
    <s v="SHP-100001"/>
    <x v="74"/>
    <x v="2"/>
    <s v="BlueSky Distributors"/>
    <x v="0"/>
    <x v="5"/>
    <s v="Standard"/>
    <d v="2026-06-18T00:00:00"/>
    <d v="2026-06-18T00:00:00"/>
    <s v="Delivered"/>
    <n v="14"/>
    <n v="0"/>
    <x v="0"/>
    <n v="1"/>
    <s v="Low"/>
  </r>
  <r>
    <s v="SHP-100279"/>
    <x v="74"/>
    <x v="2"/>
    <s v="Lowe's"/>
    <x v="1"/>
    <x v="0"/>
    <s v="Standard"/>
    <d v="2026-06-18T00:00:00"/>
    <d v="2026-06-18T00:00:00"/>
    <s v="Delivered"/>
    <n v="34"/>
    <n v="0"/>
    <x v="0"/>
    <n v="1"/>
    <s v="Low"/>
  </r>
  <r>
    <s v="SHP-100088"/>
    <x v="74"/>
    <x v="4"/>
    <s v="Sunrise Foods"/>
    <x v="0"/>
    <x v="4"/>
    <s v="Two-Day"/>
    <d v="2026-06-17T00:00:00"/>
    <d v="2026-06-17T00:00:00"/>
    <s v="Delivered"/>
    <n v="6"/>
    <n v="0"/>
    <x v="0"/>
    <n v="1"/>
    <s v="Low"/>
  </r>
  <r>
    <s v="SHP-100160"/>
    <x v="74"/>
    <x v="0"/>
    <s v="Walmart"/>
    <x v="1"/>
    <x v="1"/>
    <s v="Standard"/>
    <d v="2026-06-18T00:00:00"/>
    <d v="2026-06-18T00:00:00"/>
    <s v="Delivered"/>
    <n v="4"/>
    <n v="0"/>
    <x v="0"/>
    <n v="1"/>
    <s v="Low"/>
  </r>
  <r>
    <s v="SHP-100373"/>
    <x v="74"/>
    <x v="0"/>
    <s v="Northgate Mfg"/>
    <x v="0"/>
    <x v="2"/>
    <s v="Express"/>
    <d v="2026-06-16T00:00:00"/>
    <d v="2026-06-17T00:00:00"/>
    <s v="Late"/>
    <n v="20"/>
    <n v="1"/>
    <x v="1"/>
    <n v="0"/>
    <s v="Medium"/>
  </r>
  <r>
    <s v="SHP-100337"/>
    <x v="74"/>
    <x v="0"/>
    <s v="RegionalGrocer Co"/>
    <x v="0"/>
    <x v="3"/>
    <s v="Standard"/>
    <d v="2026-06-18T00:00:00"/>
    <d v="2026-06-18T00:00:00"/>
    <s v="Delivered"/>
    <n v="26"/>
    <n v="0"/>
    <x v="0"/>
    <n v="1"/>
    <s v="Low"/>
  </r>
  <r>
    <s v="SHP-100369"/>
    <x v="74"/>
    <x v="2"/>
    <s v="Coastal Retail"/>
    <x v="0"/>
    <x v="0"/>
    <s v="Express"/>
    <d v="2026-06-16T00:00:00"/>
    <d v="2026-06-16T00:00:00"/>
    <s v="Delivered"/>
    <n v="14"/>
    <n v="0"/>
    <x v="0"/>
    <n v="1"/>
    <s v="Low"/>
  </r>
  <r>
    <s v="SHP-100128"/>
    <x v="74"/>
    <x v="4"/>
    <s v="Walmart"/>
    <x v="1"/>
    <x v="0"/>
    <s v="Two-Day"/>
    <d v="2026-06-17T00:00:00"/>
    <d v="2026-06-17T00:00:00"/>
    <s v="Delivered"/>
    <n v="29"/>
    <n v="0"/>
    <x v="0"/>
    <n v="1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B484D-5351-9D42-A74D-EBCD7D03971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7">
    <pivotField showAll="0"/>
    <pivotField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showAll="0" sortType="ascending">
      <items count="7">
        <item x="3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"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5"/>
    </i>
    <i>
      <x v="4"/>
    </i>
    <i>
      <x/>
    </i>
    <i>
      <x v="2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et Flag" fld="13" baseField="0" baseItem="0"/>
    <dataField name="Average of Met Flag" fld="13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072DA-43E4-F443-8F6E-72B2746331F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7">
    <pivotField showAll="0"/>
    <pivotField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axis="axisRow" showAll="0" sortType="ascending">
      <items count="7">
        <item x="3"/>
        <item x="2"/>
        <item x="4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4" showAll="0"/>
    <pivotField showAll="0"/>
    <pivotField showAll="0"/>
    <pivotField numFmtId="1"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3"/>
    </i>
    <i>
      <x v="1"/>
    </i>
    <i>
      <x v="2"/>
    </i>
    <i>
      <x v="5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et Flag" fld="13" subtotal="average" baseField="0" baseItem="0" numFmtId="9"/>
    <dataField name="Count of Met Flag" fld="13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4DCE0-AB67-F546-A1D1-5E1438B1D72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 rowPageCount="1" colPageCount="1"/>
  <pivotFields count="17">
    <pivotField showAll="0"/>
    <pivotField axis="axisRow"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numFmtId="1" showAll="0"/>
    <pivotField axis="axisPage" multipleItemSelectionAllowed="1" showAll="0">
      <items count="3">
        <item x="1"/>
        <item h="1" x="0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1"/>
  </rowFields>
  <rowItems count="4"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12" hier="-1"/>
  </pageFields>
  <dataFields count="1">
    <dataField name="Count of Met Flag" fld="13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2CADCE-7885-704E-BB3F-DD291B45C97A}" name="tblShipments" displayName="tblShipments" ref="A1:O421" totalsRowShown="0">
  <autoFilter ref="A1:O421" xr:uid="{E62CADCE-7885-704E-BB3F-DD291B45C97A}"/>
  <tableColumns count="15">
    <tableColumn id="1" xr3:uid="{5C62AF29-39C0-BB44-8E42-18A754EB6EAB}" name="Shipment ID"/>
    <tableColumn id="2" xr3:uid="{CCBB137A-A2D0-814C-B9C7-4C754A9D5863}" name="Order Date" dataDxfId="6"/>
    <tableColumn id="3" xr3:uid="{15B2F027-5349-E34F-8609-3C363E02BFCA}" name="Hub"/>
    <tableColumn id="4" xr3:uid="{42089EA4-AE11-A34A-8D69-74625C105E15}" name="Customer"/>
    <tableColumn id="5" xr3:uid="{0E5021A7-3B3C-3C4C-9419-B610E0E9DB0A}" name="Customer Type"/>
    <tableColumn id="6" xr3:uid="{7DB588F6-22E3-7E41-9307-3EDCD30A2EFB}" name="Carrier"/>
    <tableColumn id="7" xr3:uid="{DCBB2F0C-304F-0842-8462-4953327ED86F}" name="Service Level"/>
    <tableColumn id="8" xr3:uid="{6CCF1E93-663D-A743-B1BC-F48CC8B367C6}" name="Promised Delivery Date" dataDxfId="5"/>
    <tableColumn id="9" xr3:uid="{193E768C-57F4-4641-8D8A-F834AA275163}" name="Actual Delivery Date" dataDxfId="4"/>
    <tableColumn id="10" xr3:uid="{9B4BAB18-3E04-A243-B730-6AA4A5AF279E}" name="Status"/>
    <tableColumn id="11" xr3:uid="{A401B2F1-0423-6148-BAD0-7644B1EFF15A}" name="Units"/>
    <tableColumn id="12" xr3:uid="{E00181FB-76DD-FD41-A89D-2322A39B5054}" name="Days Late" dataDxfId="3">
      <calculatedColumnFormula>I2-H2</calculatedColumnFormula>
    </tableColumn>
    <tableColumn id="13" xr3:uid="{7F5712A4-3A43-5046-8E00-D41C24470DA7}" name="On-Time?" dataDxfId="2">
      <calculatedColumnFormula>IF(I2&lt;=H2, "Met", "Breached")</calculatedColumnFormula>
    </tableColumn>
    <tableColumn id="14" xr3:uid="{1E347EB5-94F1-DD40-849A-A98243DE258D}" name="Met Flag" dataDxfId="1">
      <calculatedColumnFormula>IF(M2="Met", 1,0)</calculatedColumnFormula>
    </tableColumn>
    <tableColumn id="15" xr3:uid="{0D659C73-CBC8-7440-84DE-662CCB0050EE}" name="Escalation Risk" dataDxfId="0">
      <calculatedColumnFormula>IF(AND(E2="VIP", M2="Breached"), "High", IF(M2="Breached","Medium", 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8618-B88B-B149-A90B-9E06CF126CD5}">
  <dimension ref="A1:O421"/>
  <sheetViews>
    <sheetView tabSelected="1" workbookViewId="0">
      <selection activeCell="L2" sqref="L2"/>
    </sheetView>
  </sheetViews>
  <sheetFormatPr baseColWidth="10" defaultRowHeight="16" x14ac:dyDescent="0.2"/>
  <cols>
    <col min="1" max="1" width="13.5" customWidth="1"/>
    <col min="2" max="2" width="14" customWidth="1"/>
    <col min="4" max="4" width="21.6640625" customWidth="1"/>
    <col min="5" max="5" width="15.83203125" customWidth="1"/>
    <col min="6" max="6" width="20.33203125" customWidth="1"/>
    <col min="7" max="7" width="15.83203125" customWidth="1"/>
    <col min="8" max="8" width="15" customWidth="1"/>
    <col min="9" max="9" width="20.1640625" customWidth="1"/>
    <col min="12" max="12" width="17.6640625" style="2" customWidth="1"/>
    <col min="13" max="13" width="15" customWidth="1"/>
    <col min="14" max="14" width="16.83203125" customWidth="1"/>
    <col min="15" max="15" width="15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462</v>
      </c>
      <c r="M1" t="s">
        <v>463</v>
      </c>
      <c r="N1" t="s">
        <v>464</v>
      </c>
      <c r="O1" t="s">
        <v>465</v>
      </c>
    </row>
    <row r="2" spans="1:15" x14ac:dyDescent="0.2">
      <c r="A2" t="s">
        <v>11</v>
      </c>
      <c r="B2" s="1">
        <v>46114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46115</v>
      </c>
      <c r="I2" s="1">
        <v>46115</v>
      </c>
      <c r="J2" t="s">
        <v>17</v>
      </c>
      <c r="K2">
        <v>3</v>
      </c>
      <c r="L2" s="2">
        <f t="shared" ref="L2:L65" si="0">I2-H2</f>
        <v>0</v>
      </c>
      <c r="M2" t="str">
        <f t="shared" ref="M2:M65" si="1">IF(I2&lt;=H2, "Met", "Breached")</f>
        <v>Met</v>
      </c>
      <c r="N2">
        <f t="shared" ref="N2:N65" si="2">IF(M2="Met", 1,0)</f>
        <v>1</v>
      </c>
      <c r="O2" t="str">
        <f t="shared" ref="O2:O65" si="3">IF(AND(E2="VIP", M2="Breached"), "High", IF(M2="Breached","Medium", "Low"))</f>
        <v>Low</v>
      </c>
    </row>
    <row r="3" spans="1:15" x14ac:dyDescent="0.2">
      <c r="A3" t="s">
        <v>18</v>
      </c>
      <c r="B3" s="1">
        <v>46114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s="1">
        <v>46116</v>
      </c>
      <c r="I3" s="1">
        <v>46116</v>
      </c>
      <c r="J3" t="s">
        <v>17</v>
      </c>
      <c r="K3">
        <v>16</v>
      </c>
      <c r="L3" s="2">
        <f t="shared" si="0"/>
        <v>0</v>
      </c>
      <c r="M3" t="str">
        <f t="shared" si="1"/>
        <v>Met</v>
      </c>
      <c r="N3">
        <f t="shared" si="2"/>
        <v>1</v>
      </c>
      <c r="O3" t="str">
        <f t="shared" si="3"/>
        <v>Low</v>
      </c>
    </row>
    <row r="4" spans="1:15" x14ac:dyDescent="0.2">
      <c r="A4" t="s">
        <v>23</v>
      </c>
      <c r="B4" s="1">
        <v>46114</v>
      </c>
      <c r="C4" t="s">
        <v>24</v>
      </c>
      <c r="D4" t="s">
        <v>25</v>
      </c>
      <c r="E4" t="s">
        <v>26</v>
      </c>
      <c r="F4" t="s">
        <v>21</v>
      </c>
      <c r="G4" t="s">
        <v>22</v>
      </c>
      <c r="H4" s="1">
        <v>46116</v>
      </c>
      <c r="I4" s="1">
        <v>46116</v>
      </c>
      <c r="J4" t="s">
        <v>17</v>
      </c>
      <c r="K4">
        <v>8</v>
      </c>
      <c r="L4" s="2">
        <f t="shared" si="0"/>
        <v>0</v>
      </c>
      <c r="M4" t="str">
        <f t="shared" si="1"/>
        <v>Met</v>
      </c>
      <c r="N4">
        <f t="shared" si="2"/>
        <v>1</v>
      </c>
      <c r="O4" t="str">
        <f t="shared" si="3"/>
        <v>Low</v>
      </c>
    </row>
    <row r="5" spans="1:15" x14ac:dyDescent="0.2">
      <c r="A5" t="s">
        <v>27</v>
      </c>
      <c r="B5" s="1">
        <v>46114</v>
      </c>
      <c r="C5" t="s">
        <v>24</v>
      </c>
      <c r="D5" t="s">
        <v>28</v>
      </c>
      <c r="E5" t="s">
        <v>26</v>
      </c>
      <c r="F5" t="s">
        <v>29</v>
      </c>
      <c r="G5" t="s">
        <v>14</v>
      </c>
      <c r="H5" s="1">
        <v>46117</v>
      </c>
      <c r="I5" s="1">
        <v>46117</v>
      </c>
      <c r="J5" t="s">
        <v>17</v>
      </c>
      <c r="K5">
        <v>37</v>
      </c>
      <c r="L5" s="2">
        <f t="shared" si="0"/>
        <v>0</v>
      </c>
      <c r="M5" t="str">
        <f t="shared" si="1"/>
        <v>Met</v>
      </c>
      <c r="N5">
        <f t="shared" si="2"/>
        <v>1</v>
      </c>
      <c r="O5" t="str">
        <f t="shared" si="3"/>
        <v>Low</v>
      </c>
    </row>
    <row r="6" spans="1:15" x14ac:dyDescent="0.2">
      <c r="A6" t="s">
        <v>30</v>
      </c>
      <c r="B6" s="1">
        <v>46114</v>
      </c>
      <c r="C6" t="s">
        <v>19</v>
      </c>
      <c r="D6" t="s">
        <v>13</v>
      </c>
      <c r="E6" t="s">
        <v>14</v>
      </c>
      <c r="F6" t="s">
        <v>31</v>
      </c>
      <c r="G6" t="s">
        <v>16</v>
      </c>
      <c r="H6" s="1">
        <v>46115</v>
      </c>
      <c r="I6" s="1">
        <v>46115</v>
      </c>
      <c r="J6" t="s">
        <v>17</v>
      </c>
      <c r="K6">
        <v>24</v>
      </c>
      <c r="L6" s="2">
        <f t="shared" si="0"/>
        <v>0</v>
      </c>
      <c r="M6" t="str">
        <f t="shared" si="1"/>
        <v>Met</v>
      </c>
      <c r="N6">
        <f t="shared" si="2"/>
        <v>1</v>
      </c>
      <c r="O6" t="str">
        <f t="shared" si="3"/>
        <v>Low</v>
      </c>
    </row>
    <row r="7" spans="1:15" x14ac:dyDescent="0.2">
      <c r="A7" t="s">
        <v>32</v>
      </c>
      <c r="B7" s="1">
        <v>46115</v>
      </c>
      <c r="C7" t="s">
        <v>33</v>
      </c>
      <c r="D7" t="s">
        <v>34</v>
      </c>
      <c r="E7" t="s">
        <v>14</v>
      </c>
      <c r="F7" t="s">
        <v>35</v>
      </c>
      <c r="G7" t="s">
        <v>22</v>
      </c>
      <c r="H7" s="1">
        <v>46117</v>
      </c>
      <c r="I7" s="1">
        <v>46117</v>
      </c>
      <c r="J7" t="s">
        <v>17</v>
      </c>
      <c r="K7">
        <v>39</v>
      </c>
      <c r="L7" s="2">
        <f t="shared" si="0"/>
        <v>0</v>
      </c>
      <c r="M7" t="str">
        <f t="shared" si="1"/>
        <v>Met</v>
      </c>
      <c r="N7">
        <f t="shared" si="2"/>
        <v>1</v>
      </c>
      <c r="O7" t="str">
        <f t="shared" si="3"/>
        <v>Low</v>
      </c>
    </row>
    <row r="8" spans="1:15" x14ac:dyDescent="0.2">
      <c r="A8" t="s">
        <v>36</v>
      </c>
      <c r="B8" s="1">
        <v>46115</v>
      </c>
      <c r="C8" t="s">
        <v>37</v>
      </c>
      <c r="D8" t="s">
        <v>34</v>
      </c>
      <c r="E8" t="s">
        <v>14</v>
      </c>
      <c r="F8" t="s">
        <v>21</v>
      </c>
      <c r="G8" t="s">
        <v>22</v>
      </c>
      <c r="H8" s="1">
        <v>46117</v>
      </c>
      <c r="I8" s="1">
        <v>46117</v>
      </c>
      <c r="J8" t="s">
        <v>17</v>
      </c>
      <c r="K8">
        <v>14</v>
      </c>
      <c r="L8" s="2">
        <f t="shared" si="0"/>
        <v>0</v>
      </c>
      <c r="M8" t="str">
        <f t="shared" si="1"/>
        <v>Met</v>
      </c>
      <c r="N8">
        <f t="shared" si="2"/>
        <v>1</v>
      </c>
      <c r="O8" t="str">
        <f t="shared" si="3"/>
        <v>Low</v>
      </c>
    </row>
    <row r="9" spans="1:15" x14ac:dyDescent="0.2">
      <c r="A9" t="s">
        <v>38</v>
      </c>
      <c r="B9" s="1">
        <v>46115</v>
      </c>
      <c r="C9" t="s">
        <v>33</v>
      </c>
      <c r="D9" t="s">
        <v>39</v>
      </c>
      <c r="E9" t="s">
        <v>26</v>
      </c>
      <c r="F9" t="s">
        <v>29</v>
      </c>
      <c r="G9" t="s">
        <v>16</v>
      </c>
      <c r="H9" s="1">
        <v>46116</v>
      </c>
      <c r="I9" s="1">
        <v>46116</v>
      </c>
      <c r="J9" t="s">
        <v>17</v>
      </c>
      <c r="K9">
        <v>29</v>
      </c>
      <c r="L9" s="2">
        <f t="shared" si="0"/>
        <v>0</v>
      </c>
      <c r="M9" t="str">
        <f t="shared" si="1"/>
        <v>Met</v>
      </c>
      <c r="N9">
        <f t="shared" si="2"/>
        <v>1</v>
      </c>
      <c r="O9" t="str">
        <f t="shared" si="3"/>
        <v>Low</v>
      </c>
    </row>
    <row r="10" spans="1:15" x14ac:dyDescent="0.2">
      <c r="A10" t="s">
        <v>40</v>
      </c>
      <c r="B10" s="1">
        <v>46115</v>
      </c>
      <c r="C10" t="s">
        <v>37</v>
      </c>
      <c r="D10" t="s">
        <v>41</v>
      </c>
      <c r="E10" t="s">
        <v>14</v>
      </c>
      <c r="F10" t="s">
        <v>21</v>
      </c>
      <c r="G10" t="s">
        <v>16</v>
      </c>
      <c r="H10" s="1">
        <v>46116</v>
      </c>
      <c r="I10" s="1">
        <v>46117</v>
      </c>
      <c r="J10" t="s">
        <v>42</v>
      </c>
      <c r="K10">
        <v>16</v>
      </c>
      <c r="L10" s="2">
        <f t="shared" si="0"/>
        <v>1</v>
      </c>
      <c r="M10" t="str">
        <f t="shared" si="1"/>
        <v>Breached</v>
      </c>
      <c r="N10">
        <f t="shared" si="2"/>
        <v>0</v>
      </c>
      <c r="O10" t="str">
        <f t="shared" si="3"/>
        <v>Medium</v>
      </c>
    </row>
    <row r="11" spans="1:15" x14ac:dyDescent="0.2">
      <c r="A11" t="s">
        <v>43</v>
      </c>
      <c r="B11" s="1">
        <v>46115</v>
      </c>
      <c r="C11" t="s">
        <v>12</v>
      </c>
      <c r="D11" t="s">
        <v>44</v>
      </c>
      <c r="E11" t="s">
        <v>26</v>
      </c>
      <c r="F11" t="s">
        <v>31</v>
      </c>
      <c r="G11" t="s">
        <v>16</v>
      </c>
      <c r="H11" s="1">
        <v>46116</v>
      </c>
      <c r="I11" s="1">
        <v>46116</v>
      </c>
      <c r="J11" t="s">
        <v>17</v>
      </c>
      <c r="K11">
        <v>15</v>
      </c>
      <c r="L11" s="2">
        <f t="shared" si="0"/>
        <v>0</v>
      </c>
      <c r="M11" t="str">
        <f t="shared" si="1"/>
        <v>Met</v>
      </c>
      <c r="N11">
        <f t="shared" si="2"/>
        <v>1</v>
      </c>
      <c r="O11" t="str">
        <f t="shared" si="3"/>
        <v>Low</v>
      </c>
    </row>
    <row r="12" spans="1:15" x14ac:dyDescent="0.2">
      <c r="A12" t="s">
        <v>45</v>
      </c>
      <c r="B12" s="1">
        <v>46115</v>
      </c>
      <c r="C12" t="s">
        <v>37</v>
      </c>
      <c r="D12" t="s">
        <v>46</v>
      </c>
      <c r="E12" t="s">
        <v>14</v>
      </c>
      <c r="F12" t="s">
        <v>31</v>
      </c>
      <c r="G12" t="s">
        <v>14</v>
      </c>
      <c r="H12" s="1">
        <v>46118</v>
      </c>
      <c r="I12" s="1">
        <v>46118</v>
      </c>
      <c r="J12" t="s">
        <v>17</v>
      </c>
      <c r="K12">
        <v>36</v>
      </c>
      <c r="L12" s="2">
        <f t="shared" si="0"/>
        <v>0</v>
      </c>
      <c r="M12" t="str">
        <f t="shared" si="1"/>
        <v>Met</v>
      </c>
      <c r="N12">
        <f t="shared" si="2"/>
        <v>1</v>
      </c>
      <c r="O12" t="str">
        <f t="shared" si="3"/>
        <v>Low</v>
      </c>
    </row>
    <row r="13" spans="1:15" x14ac:dyDescent="0.2">
      <c r="A13" t="s">
        <v>47</v>
      </c>
      <c r="B13" s="1">
        <v>46115</v>
      </c>
      <c r="C13" t="s">
        <v>48</v>
      </c>
      <c r="D13" t="s">
        <v>49</v>
      </c>
      <c r="E13" t="s">
        <v>26</v>
      </c>
      <c r="F13" t="s">
        <v>29</v>
      </c>
      <c r="G13" t="s">
        <v>14</v>
      </c>
      <c r="H13" s="1">
        <v>46118</v>
      </c>
      <c r="I13" s="1">
        <v>46118</v>
      </c>
      <c r="J13" t="s">
        <v>17</v>
      </c>
      <c r="K13">
        <v>11</v>
      </c>
      <c r="L13" s="2">
        <f t="shared" si="0"/>
        <v>0</v>
      </c>
      <c r="M13" t="str">
        <f t="shared" si="1"/>
        <v>Met</v>
      </c>
      <c r="N13">
        <f t="shared" si="2"/>
        <v>1</v>
      </c>
      <c r="O13" t="str">
        <f t="shared" si="3"/>
        <v>Low</v>
      </c>
    </row>
    <row r="14" spans="1:15" x14ac:dyDescent="0.2">
      <c r="A14" t="s">
        <v>50</v>
      </c>
      <c r="B14" s="1">
        <v>46116</v>
      </c>
      <c r="C14" t="s">
        <v>19</v>
      </c>
      <c r="D14" t="s">
        <v>34</v>
      </c>
      <c r="E14" t="s">
        <v>14</v>
      </c>
      <c r="F14" t="s">
        <v>29</v>
      </c>
      <c r="G14" t="s">
        <v>22</v>
      </c>
      <c r="H14" s="1">
        <v>46118</v>
      </c>
      <c r="I14" s="1">
        <v>46118</v>
      </c>
      <c r="J14" t="s">
        <v>17</v>
      </c>
      <c r="K14">
        <v>18</v>
      </c>
      <c r="L14" s="2">
        <f t="shared" si="0"/>
        <v>0</v>
      </c>
      <c r="M14" t="str">
        <f t="shared" si="1"/>
        <v>Met</v>
      </c>
      <c r="N14">
        <f t="shared" si="2"/>
        <v>1</v>
      </c>
      <c r="O14" t="str">
        <f t="shared" si="3"/>
        <v>Low</v>
      </c>
    </row>
    <row r="15" spans="1:15" x14ac:dyDescent="0.2">
      <c r="A15" t="s">
        <v>51</v>
      </c>
      <c r="B15" s="1">
        <v>46116</v>
      </c>
      <c r="C15" t="s">
        <v>12</v>
      </c>
      <c r="D15" t="s">
        <v>28</v>
      </c>
      <c r="E15" t="s">
        <v>26</v>
      </c>
      <c r="F15" t="s">
        <v>35</v>
      </c>
      <c r="G15" t="s">
        <v>16</v>
      </c>
      <c r="H15" s="1">
        <v>46117</v>
      </c>
      <c r="I15" s="1">
        <v>46117</v>
      </c>
      <c r="J15" t="s">
        <v>17</v>
      </c>
      <c r="K15">
        <v>26</v>
      </c>
      <c r="L15" s="2">
        <f t="shared" si="0"/>
        <v>0</v>
      </c>
      <c r="M15" t="str">
        <f t="shared" si="1"/>
        <v>Met</v>
      </c>
      <c r="N15">
        <f t="shared" si="2"/>
        <v>1</v>
      </c>
      <c r="O15" t="str">
        <f t="shared" si="3"/>
        <v>Low</v>
      </c>
    </row>
    <row r="16" spans="1:15" x14ac:dyDescent="0.2">
      <c r="A16" t="s">
        <v>52</v>
      </c>
      <c r="B16" s="1">
        <v>46116</v>
      </c>
      <c r="C16" t="s">
        <v>33</v>
      </c>
      <c r="D16" t="s">
        <v>44</v>
      </c>
      <c r="E16" t="s">
        <v>26</v>
      </c>
      <c r="F16" t="s">
        <v>35</v>
      </c>
      <c r="G16" t="s">
        <v>16</v>
      </c>
      <c r="H16" s="1">
        <v>46117</v>
      </c>
      <c r="I16" s="1">
        <v>46117</v>
      </c>
      <c r="J16" t="s">
        <v>17</v>
      </c>
      <c r="K16">
        <v>24</v>
      </c>
      <c r="L16" s="2">
        <f t="shared" si="0"/>
        <v>0</v>
      </c>
      <c r="M16" t="str">
        <f t="shared" si="1"/>
        <v>Met</v>
      </c>
      <c r="N16">
        <f t="shared" si="2"/>
        <v>1</v>
      </c>
      <c r="O16" t="str">
        <f t="shared" si="3"/>
        <v>Low</v>
      </c>
    </row>
    <row r="17" spans="1:15" x14ac:dyDescent="0.2">
      <c r="A17" t="s">
        <v>53</v>
      </c>
      <c r="B17" s="1">
        <v>46116</v>
      </c>
      <c r="C17" t="s">
        <v>24</v>
      </c>
      <c r="D17" t="s">
        <v>54</v>
      </c>
      <c r="E17" t="s">
        <v>14</v>
      </c>
      <c r="F17" t="s">
        <v>15</v>
      </c>
      <c r="G17" t="s">
        <v>16</v>
      </c>
      <c r="H17" s="1">
        <v>46117</v>
      </c>
      <c r="I17" s="1">
        <v>46117</v>
      </c>
      <c r="J17" t="s">
        <v>17</v>
      </c>
      <c r="K17">
        <v>6</v>
      </c>
      <c r="L17" s="2">
        <f t="shared" si="0"/>
        <v>0</v>
      </c>
      <c r="M17" t="str">
        <f t="shared" si="1"/>
        <v>Met</v>
      </c>
      <c r="N17">
        <f t="shared" si="2"/>
        <v>1</v>
      </c>
      <c r="O17" t="str">
        <f t="shared" si="3"/>
        <v>Low</v>
      </c>
    </row>
    <row r="18" spans="1:15" x14ac:dyDescent="0.2">
      <c r="A18" t="s">
        <v>55</v>
      </c>
      <c r="B18" s="1">
        <v>46116</v>
      </c>
      <c r="C18" t="s">
        <v>33</v>
      </c>
      <c r="D18" t="s">
        <v>34</v>
      </c>
      <c r="E18" t="s">
        <v>14</v>
      </c>
      <c r="F18" t="s">
        <v>15</v>
      </c>
      <c r="G18" t="s">
        <v>16</v>
      </c>
      <c r="H18" s="1">
        <v>46117</v>
      </c>
      <c r="I18" s="1">
        <v>46116</v>
      </c>
      <c r="J18" t="s">
        <v>17</v>
      </c>
      <c r="K18">
        <v>21</v>
      </c>
      <c r="L18" s="2">
        <f t="shared" si="0"/>
        <v>-1</v>
      </c>
      <c r="M18" t="str">
        <f t="shared" si="1"/>
        <v>Met</v>
      </c>
      <c r="N18">
        <f t="shared" si="2"/>
        <v>1</v>
      </c>
      <c r="O18" t="str">
        <f t="shared" si="3"/>
        <v>Low</v>
      </c>
    </row>
    <row r="19" spans="1:15" x14ac:dyDescent="0.2">
      <c r="A19" t="s">
        <v>56</v>
      </c>
      <c r="B19" s="1">
        <v>46116</v>
      </c>
      <c r="C19" t="s">
        <v>12</v>
      </c>
      <c r="D19" t="s">
        <v>25</v>
      </c>
      <c r="E19" t="s">
        <v>26</v>
      </c>
      <c r="F19" t="s">
        <v>15</v>
      </c>
      <c r="G19" t="s">
        <v>16</v>
      </c>
      <c r="H19" s="1">
        <v>46117</v>
      </c>
      <c r="I19" s="1">
        <v>46117</v>
      </c>
      <c r="J19" t="s">
        <v>17</v>
      </c>
      <c r="K19">
        <v>30</v>
      </c>
      <c r="L19" s="2">
        <f t="shared" si="0"/>
        <v>0</v>
      </c>
      <c r="M19" t="str">
        <f t="shared" si="1"/>
        <v>Met</v>
      </c>
      <c r="N19">
        <f t="shared" si="2"/>
        <v>1</v>
      </c>
      <c r="O19" t="str">
        <f t="shared" si="3"/>
        <v>Low</v>
      </c>
    </row>
    <row r="20" spans="1:15" x14ac:dyDescent="0.2">
      <c r="A20" t="s">
        <v>57</v>
      </c>
      <c r="B20" s="1">
        <v>46116</v>
      </c>
      <c r="C20" t="s">
        <v>37</v>
      </c>
      <c r="D20" t="s">
        <v>20</v>
      </c>
      <c r="E20" t="s">
        <v>14</v>
      </c>
      <c r="F20" t="s">
        <v>35</v>
      </c>
      <c r="G20" t="s">
        <v>14</v>
      </c>
      <c r="H20" s="1">
        <v>46119</v>
      </c>
      <c r="I20" s="1">
        <v>46119</v>
      </c>
      <c r="J20" t="s">
        <v>17</v>
      </c>
      <c r="K20">
        <v>16</v>
      </c>
      <c r="L20" s="2">
        <f t="shared" si="0"/>
        <v>0</v>
      </c>
      <c r="M20" t="str">
        <f t="shared" si="1"/>
        <v>Met</v>
      </c>
      <c r="N20">
        <f t="shared" si="2"/>
        <v>1</v>
      </c>
      <c r="O20" t="str">
        <f t="shared" si="3"/>
        <v>Low</v>
      </c>
    </row>
    <row r="21" spans="1:15" x14ac:dyDescent="0.2">
      <c r="A21" t="s">
        <v>58</v>
      </c>
      <c r="B21" s="1">
        <v>46117</v>
      </c>
      <c r="C21" t="s">
        <v>24</v>
      </c>
      <c r="D21" t="s">
        <v>46</v>
      </c>
      <c r="E21" t="s">
        <v>14</v>
      </c>
      <c r="F21" t="s">
        <v>15</v>
      </c>
      <c r="G21" t="s">
        <v>22</v>
      </c>
      <c r="H21" s="1">
        <v>46119</v>
      </c>
      <c r="I21" s="1">
        <v>46119</v>
      </c>
      <c r="J21" t="s">
        <v>17</v>
      </c>
      <c r="K21">
        <v>12</v>
      </c>
      <c r="L21" s="2">
        <f t="shared" si="0"/>
        <v>0</v>
      </c>
      <c r="M21" t="str">
        <f t="shared" si="1"/>
        <v>Met</v>
      </c>
      <c r="N21">
        <f t="shared" si="2"/>
        <v>1</v>
      </c>
      <c r="O21" t="str">
        <f t="shared" si="3"/>
        <v>Low</v>
      </c>
    </row>
    <row r="22" spans="1:15" x14ac:dyDescent="0.2">
      <c r="A22" t="s">
        <v>59</v>
      </c>
      <c r="B22" s="1">
        <v>46117</v>
      </c>
      <c r="C22" t="s">
        <v>48</v>
      </c>
      <c r="D22" t="s">
        <v>34</v>
      </c>
      <c r="E22" t="s">
        <v>14</v>
      </c>
      <c r="F22" t="s">
        <v>31</v>
      </c>
      <c r="G22" t="s">
        <v>22</v>
      </c>
      <c r="H22" s="1">
        <v>46119</v>
      </c>
      <c r="I22" s="1">
        <v>46119</v>
      </c>
      <c r="J22" t="s">
        <v>17</v>
      </c>
      <c r="K22">
        <v>36</v>
      </c>
      <c r="L22" s="2">
        <f t="shared" si="0"/>
        <v>0</v>
      </c>
      <c r="M22" t="str">
        <f t="shared" si="1"/>
        <v>Met</v>
      </c>
      <c r="N22">
        <f t="shared" si="2"/>
        <v>1</v>
      </c>
      <c r="O22" t="str">
        <f t="shared" si="3"/>
        <v>Low</v>
      </c>
    </row>
    <row r="23" spans="1:15" x14ac:dyDescent="0.2">
      <c r="A23" t="s">
        <v>60</v>
      </c>
      <c r="B23" s="1">
        <v>46118</v>
      </c>
      <c r="C23" t="s">
        <v>37</v>
      </c>
      <c r="D23" t="s">
        <v>54</v>
      </c>
      <c r="E23" t="s">
        <v>14</v>
      </c>
      <c r="F23" t="s">
        <v>29</v>
      </c>
      <c r="G23" t="s">
        <v>16</v>
      </c>
      <c r="H23" s="1">
        <v>46119</v>
      </c>
      <c r="I23" s="1">
        <v>46118</v>
      </c>
      <c r="J23" t="s">
        <v>17</v>
      </c>
      <c r="K23">
        <v>4</v>
      </c>
      <c r="L23" s="2">
        <f t="shared" si="0"/>
        <v>-1</v>
      </c>
      <c r="M23" t="str">
        <f t="shared" si="1"/>
        <v>Met</v>
      </c>
      <c r="N23">
        <f t="shared" si="2"/>
        <v>1</v>
      </c>
      <c r="O23" t="str">
        <f t="shared" si="3"/>
        <v>Low</v>
      </c>
    </row>
    <row r="24" spans="1:15" x14ac:dyDescent="0.2">
      <c r="A24" t="s">
        <v>61</v>
      </c>
      <c r="B24" s="1">
        <v>46118</v>
      </c>
      <c r="C24" t="s">
        <v>19</v>
      </c>
      <c r="D24" t="s">
        <v>41</v>
      </c>
      <c r="E24" t="s">
        <v>14</v>
      </c>
      <c r="F24" t="s">
        <v>35</v>
      </c>
      <c r="G24" t="s">
        <v>14</v>
      </c>
      <c r="H24" s="1">
        <v>46121</v>
      </c>
      <c r="I24" s="1">
        <v>46121</v>
      </c>
      <c r="J24" t="s">
        <v>17</v>
      </c>
      <c r="K24">
        <v>39</v>
      </c>
      <c r="L24" s="2">
        <f t="shared" si="0"/>
        <v>0</v>
      </c>
      <c r="M24" t="str">
        <f t="shared" si="1"/>
        <v>Met</v>
      </c>
      <c r="N24">
        <f t="shared" si="2"/>
        <v>1</v>
      </c>
      <c r="O24" t="str">
        <f t="shared" si="3"/>
        <v>Low</v>
      </c>
    </row>
    <row r="25" spans="1:15" x14ac:dyDescent="0.2">
      <c r="A25" t="s">
        <v>62</v>
      </c>
      <c r="B25" s="1">
        <v>46118</v>
      </c>
      <c r="C25" t="s">
        <v>48</v>
      </c>
      <c r="D25" t="s">
        <v>54</v>
      </c>
      <c r="E25" t="s">
        <v>14</v>
      </c>
      <c r="F25" t="s">
        <v>21</v>
      </c>
      <c r="G25" t="s">
        <v>22</v>
      </c>
      <c r="H25" s="1">
        <v>46120</v>
      </c>
      <c r="I25" s="1">
        <v>46120</v>
      </c>
      <c r="J25" t="s">
        <v>17</v>
      </c>
      <c r="K25">
        <v>14</v>
      </c>
      <c r="L25" s="2">
        <f t="shared" si="0"/>
        <v>0</v>
      </c>
      <c r="M25" t="str">
        <f t="shared" si="1"/>
        <v>Met</v>
      </c>
      <c r="N25">
        <f t="shared" si="2"/>
        <v>1</v>
      </c>
      <c r="O25" t="str">
        <f t="shared" si="3"/>
        <v>Low</v>
      </c>
    </row>
    <row r="26" spans="1:15" x14ac:dyDescent="0.2">
      <c r="A26" t="s">
        <v>63</v>
      </c>
      <c r="B26" s="1">
        <v>46118</v>
      </c>
      <c r="C26" t="s">
        <v>33</v>
      </c>
      <c r="D26" t="s">
        <v>34</v>
      </c>
      <c r="E26" t="s">
        <v>14</v>
      </c>
      <c r="F26" t="s">
        <v>35</v>
      </c>
      <c r="G26" t="s">
        <v>16</v>
      </c>
      <c r="H26" s="1">
        <v>46119</v>
      </c>
      <c r="I26" s="1">
        <v>46121</v>
      </c>
      <c r="J26" t="s">
        <v>42</v>
      </c>
      <c r="K26">
        <v>17</v>
      </c>
      <c r="L26" s="2">
        <f t="shared" si="0"/>
        <v>2</v>
      </c>
      <c r="M26" t="str">
        <f t="shared" si="1"/>
        <v>Breached</v>
      </c>
      <c r="N26">
        <f t="shared" si="2"/>
        <v>0</v>
      </c>
      <c r="O26" t="str">
        <f t="shared" si="3"/>
        <v>Medium</v>
      </c>
    </row>
    <row r="27" spans="1:15" x14ac:dyDescent="0.2">
      <c r="A27" t="s">
        <v>64</v>
      </c>
      <c r="B27" s="1">
        <v>46118</v>
      </c>
      <c r="C27" t="s">
        <v>33</v>
      </c>
      <c r="D27" t="s">
        <v>46</v>
      </c>
      <c r="E27" t="s">
        <v>14</v>
      </c>
      <c r="F27" t="s">
        <v>15</v>
      </c>
      <c r="G27" t="s">
        <v>22</v>
      </c>
      <c r="H27" s="1">
        <v>46120</v>
      </c>
      <c r="I27" s="1">
        <v>46120</v>
      </c>
      <c r="J27" t="s">
        <v>17</v>
      </c>
      <c r="K27">
        <v>38</v>
      </c>
      <c r="L27" s="2">
        <f t="shared" si="0"/>
        <v>0</v>
      </c>
      <c r="M27" t="str">
        <f t="shared" si="1"/>
        <v>Met</v>
      </c>
      <c r="N27">
        <f t="shared" si="2"/>
        <v>1</v>
      </c>
      <c r="O27" t="str">
        <f t="shared" si="3"/>
        <v>Low</v>
      </c>
    </row>
    <row r="28" spans="1:15" x14ac:dyDescent="0.2">
      <c r="A28" t="s">
        <v>65</v>
      </c>
      <c r="B28" s="1">
        <v>46118</v>
      </c>
      <c r="C28" t="s">
        <v>37</v>
      </c>
      <c r="D28" t="s">
        <v>46</v>
      </c>
      <c r="E28" t="s">
        <v>14</v>
      </c>
      <c r="F28" t="s">
        <v>15</v>
      </c>
      <c r="G28" t="s">
        <v>16</v>
      </c>
      <c r="H28" s="1">
        <v>46119</v>
      </c>
      <c r="I28" s="1">
        <v>46119</v>
      </c>
      <c r="J28" t="s">
        <v>17</v>
      </c>
      <c r="K28">
        <v>35</v>
      </c>
      <c r="L28" s="2">
        <f t="shared" si="0"/>
        <v>0</v>
      </c>
      <c r="M28" t="str">
        <f t="shared" si="1"/>
        <v>Met</v>
      </c>
      <c r="N28">
        <f t="shared" si="2"/>
        <v>1</v>
      </c>
      <c r="O28" t="str">
        <f t="shared" si="3"/>
        <v>Low</v>
      </c>
    </row>
    <row r="29" spans="1:15" x14ac:dyDescent="0.2">
      <c r="A29" t="s">
        <v>66</v>
      </c>
      <c r="B29" s="1">
        <v>46118</v>
      </c>
      <c r="C29" t="s">
        <v>48</v>
      </c>
      <c r="D29" t="s">
        <v>67</v>
      </c>
      <c r="E29" t="s">
        <v>14</v>
      </c>
      <c r="F29" t="s">
        <v>29</v>
      </c>
      <c r="G29" t="s">
        <v>22</v>
      </c>
      <c r="H29" s="1">
        <v>46120</v>
      </c>
      <c r="I29" s="1">
        <v>46120</v>
      </c>
      <c r="J29" t="s">
        <v>17</v>
      </c>
      <c r="K29">
        <v>38</v>
      </c>
      <c r="L29" s="2">
        <f t="shared" si="0"/>
        <v>0</v>
      </c>
      <c r="M29" t="str">
        <f t="shared" si="1"/>
        <v>Met</v>
      </c>
      <c r="N29">
        <f t="shared" si="2"/>
        <v>1</v>
      </c>
      <c r="O29" t="str">
        <f t="shared" si="3"/>
        <v>Low</v>
      </c>
    </row>
    <row r="30" spans="1:15" x14ac:dyDescent="0.2">
      <c r="A30" t="s">
        <v>68</v>
      </c>
      <c r="B30" s="1">
        <v>46118</v>
      </c>
      <c r="C30" t="s">
        <v>19</v>
      </c>
      <c r="D30" t="s">
        <v>44</v>
      </c>
      <c r="E30" t="s">
        <v>26</v>
      </c>
      <c r="F30" t="s">
        <v>29</v>
      </c>
      <c r="G30" t="s">
        <v>14</v>
      </c>
      <c r="H30" s="1">
        <v>46121</v>
      </c>
      <c r="I30" s="1">
        <v>46121</v>
      </c>
      <c r="J30" t="s">
        <v>17</v>
      </c>
      <c r="K30">
        <v>6</v>
      </c>
      <c r="L30" s="2">
        <f t="shared" si="0"/>
        <v>0</v>
      </c>
      <c r="M30" t="str">
        <f t="shared" si="1"/>
        <v>Met</v>
      </c>
      <c r="N30">
        <f t="shared" si="2"/>
        <v>1</v>
      </c>
      <c r="O30" t="str">
        <f t="shared" si="3"/>
        <v>Low</v>
      </c>
    </row>
    <row r="31" spans="1:15" x14ac:dyDescent="0.2">
      <c r="A31" t="s">
        <v>69</v>
      </c>
      <c r="B31" s="1">
        <v>46119</v>
      </c>
      <c r="C31" t="s">
        <v>48</v>
      </c>
      <c r="D31" t="s">
        <v>67</v>
      </c>
      <c r="E31" t="s">
        <v>14</v>
      </c>
      <c r="F31" t="s">
        <v>35</v>
      </c>
      <c r="G31" t="s">
        <v>16</v>
      </c>
      <c r="H31" s="1">
        <v>46120</v>
      </c>
      <c r="I31" s="1">
        <v>46119</v>
      </c>
      <c r="J31" t="s">
        <v>17</v>
      </c>
      <c r="K31">
        <v>7</v>
      </c>
      <c r="L31" s="2">
        <f t="shared" si="0"/>
        <v>-1</v>
      </c>
      <c r="M31" t="str">
        <f t="shared" si="1"/>
        <v>Met</v>
      </c>
      <c r="N31">
        <f t="shared" si="2"/>
        <v>1</v>
      </c>
      <c r="O31" t="str">
        <f t="shared" si="3"/>
        <v>Low</v>
      </c>
    </row>
    <row r="32" spans="1:15" x14ac:dyDescent="0.2">
      <c r="A32" t="s">
        <v>70</v>
      </c>
      <c r="B32" s="1">
        <v>46119</v>
      </c>
      <c r="C32" t="s">
        <v>37</v>
      </c>
      <c r="D32" t="s">
        <v>67</v>
      </c>
      <c r="E32" t="s">
        <v>14</v>
      </c>
      <c r="F32" t="s">
        <v>21</v>
      </c>
      <c r="G32" t="s">
        <v>22</v>
      </c>
      <c r="H32" s="1">
        <v>46121</v>
      </c>
      <c r="I32" s="1">
        <v>46121</v>
      </c>
      <c r="J32" t="s">
        <v>17</v>
      </c>
      <c r="K32">
        <v>5</v>
      </c>
      <c r="L32" s="2">
        <f t="shared" si="0"/>
        <v>0</v>
      </c>
      <c r="M32" t="str">
        <f t="shared" si="1"/>
        <v>Met</v>
      </c>
      <c r="N32">
        <f t="shared" si="2"/>
        <v>1</v>
      </c>
      <c r="O32" t="str">
        <f t="shared" si="3"/>
        <v>Low</v>
      </c>
    </row>
    <row r="33" spans="1:15" x14ac:dyDescent="0.2">
      <c r="A33" t="s">
        <v>71</v>
      </c>
      <c r="B33" s="1">
        <v>46119</v>
      </c>
      <c r="C33" t="s">
        <v>37</v>
      </c>
      <c r="D33" t="s">
        <v>13</v>
      </c>
      <c r="E33" t="s">
        <v>14</v>
      </c>
      <c r="F33" t="s">
        <v>31</v>
      </c>
      <c r="G33" t="s">
        <v>16</v>
      </c>
      <c r="H33" s="1">
        <v>46120</v>
      </c>
      <c r="I33" s="1">
        <v>46120</v>
      </c>
      <c r="J33" t="s">
        <v>17</v>
      </c>
      <c r="K33">
        <v>36</v>
      </c>
      <c r="L33" s="2">
        <f t="shared" si="0"/>
        <v>0</v>
      </c>
      <c r="M33" t="str">
        <f t="shared" si="1"/>
        <v>Met</v>
      </c>
      <c r="N33">
        <f t="shared" si="2"/>
        <v>1</v>
      </c>
      <c r="O33" t="str">
        <f t="shared" si="3"/>
        <v>Low</v>
      </c>
    </row>
    <row r="34" spans="1:15" x14ac:dyDescent="0.2">
      <c r="A34" t="s">
        <v>72</v>
      </c>
      <c r="B34" s="1">
        <v>46119</v>
      </c>
      <c r="C34" t="s">
        <v>12</v>
      </c>
      <c r="D34" t="s">
        <v>46</v>
      </c>
      <c r="E34" t="s">
        <v>14</v>
      </c>
      <c r="F34" t="s">
        <v>21</v>
      </c>
      <c r="G34" t="s">
        <v>14</v>
      </c>
      <c r="H34" s="1">
        <v>46122</v>
      </c>
      <c r="I34" s="1">
        <v>46122</v>
      </c>
      <c r="J34" t="s">
        <v>17</v>
      </c>
      <c r="K34">
        <v>31</v>
      </c>
      <c r="L34" s="2">
        <f t="shared" si="0"/>
        <v>0</v>
      </c>
      <c r="M34" t="str">
        <f t="shared" si="1"/>
        <v>Met</v>
      </c>
      <c r="N34">
        <f t="shared" si="2"/>
        <v>1</v>
      </c>
      <c r="O34" t="str">
        <f t="shared" si="3"/>
        <v>Low</v>
      </c>
    </row>
    <row r="35" spans="1:15" x14ac:dyDescent="0.2">
      <c r="A35" t="s">
        <v>73</v>
      </c>
      <c r="B35" s="1">
        <v>46119</v>
      </c>
      <c r="C35" t="s">
        <v>19</v>
      </c>
      <c r="D35" t="s">
        <v>41</v>
      </c>
      <c r="E35" t="s">
        <v>14</v>
      </c>
      <c r="F35" t="s">
        <v>29</v>
      </c>
      <c r="G35" t="s">
        <v>16</v>
      </c>
      <c r="H35" s="1">
        <v>46120</v>
      </c>
      <c r="I35" s="1">
        <v>46120</v>
      </c>
      <c r="J35" t="s">
        <v>17</v>
      </c>
      <c r="K35">
        <v>19</v>
      </c>
      <c r="L35" s="2">
        <f t="shared" si="0"/>
        <v>0</v>
      </c>
      <c r="M35" t="str">
        <f t="shared" si="1"/>
        <v>Met</v>
      </c>
      <c r="N35">
        <f t="shared" si="2"/>
        <v>1</v>
      </c>
      <c r="O35" t="str">
        <f t="shared" si="3"/>
        <v>Low</v>
      </c>
    </row>
    <row r="36" spans="1:15" x14ac:dyDescent="0.2">
      <c r="A36" t="s">
        <v>74</v>
      </c>
      <c r="B36" s="1">
        <v>46119</v>
      </c>
      <c r="C36" t="s">
        <v>33</v>
      </c>
      <c r="D36" t="s">
        <v>41</v>
      </c>
      <c r="E36" t="s">
        <v>14</v>
      </c>
      <c r="F36" t="s">
        <v>75</v>
      </c>
      <c r="G36" t="s">
        <v>22</v>
      </c>
      <c r="H36" s="1">
        <v>46121</v>
      </c>
      <c r="I36" s="1">
        <v>46121</v>
      </c>
      <c r="J36" t="s">
        <v>17</v>
      </c>
      <c r="K36">
        <v>29</v>
      </c>
      <c r="L36" s="2">
        <f t="shared" si="0"/>
        <v>0</v>
      </c>
      <c r="M36" t="str">
        <f t="shared" si="1"/>
        <v>Met</v>
      </c>
      <c r="N36">
        <f t="shared" si="2"/>
        <v>1</v>
      </c>
      <c r="O36" t="str">
        <f t="shared" si="3"/>
        <v>Low</v>
      </c>
    </row>
    <row r="37" spans="1:15" x14ac:dyDescent="0.2">
      <c r="A37" t="s">
        <v>76</v>
      </c>
      <c r="B37" s="1">
        <v>46119</v>
      </c>
      <c r="C37" t="s">
        <v>12</v>
      </c>
      <c r="D37" t="s">
        <v>54</v>
      </c>
      <c r="E37" t="s">
        <v>14</v>
      </c>
      <c r="F37" t="s">
        <v>35</v>
      </c>
      <c r="G37" t="s">
        <v>14</v>
      </c>
      <c r="H37" s="1">
        <v>46122</v>
      </c>
      <c r="I37" s="1">
        <v>46122</v>
      </c>
      <c r="J37" t="s">
        <v>17</v>
      </c>
      <c r="K37">
        <v>11</v>
      </c>
      <c r="L37" s="2">
        <f t="shared" si="0"/>
        <v>0</v>
      </c>
      <c r="M37" t="str">
        <f t="shared" si="1"/>
        <v>Met</v>
      </c>
      <c r="N37">
        <f t="shared" si="2"/>
        <v>1</v>
      </c>
      <c r="O37" t="str">
        <f t="shared" si="3"/>
        <v>Low</v>
      </c>
    </row>
    <row r="38" spans="1:15" x14ac:dyDescent="0.2">
      <c r="A38" t="s">
        <v>77</v>
      </c>
      <c r="B38" s="1">
        <v>46120</v>
      </c>
      <c r="C38" t="s">
        <v>33</v>
      </c>
      <c r="D38" t="s">
        <v>39</v>
      </c>
      <c r="E38" t="s">
        <v>26</v>
      </c>
      <c r="F38" t="s">
        <v>29</v>
      </c>
      <c r="G38" t="s">
        <v>22</v>
      </c>
      <c r="H38" s="1">
        <v>46122</v>
      </c>
      <c r="I38" s="1">
        <v>46121</v>
      </c>
      <c r="J38" t="s">
        <v>17</v>
      </c>
      <c r="K38">
        <v>22</v>
      </c>
      <c r="L38" s="2">
        <f t="shared" si="0"/>
        <v>-1</v>
      </c>
      <c r="M38" t="str">
        <f t="shared" si="1"/>
        <v>Met</v>
      </c>
      <c r="N38">
        <f t="shared" si="2"/>
        <v>1</v>
      </c>
      <c r="O38" t="str">
        <f t="shared" si="3"/>
        <v>Low</v>
      </c>
    </row>
    <row r="39" spans="1:15" x14ac:dyDescent="0.2">
      <c r="A39" t="s">
        <v>78</v>
      </c>
      <c r="B39" s="1">
        <v>46120</v>
      </c>
      <c r="C39" t="s">
        <v>19</v>
      </c>
      <c r="D39" t="s">
        <v>46</v>
      </c>
      <c r="E39" t="s">
        <v>14</v>
      </c>
      <c r="F39" t="s">
        <v>35</v>
      </c>
      <c r="G39" t="s">
        <v>22</v>
      </c>
      <c r="H39" s="1">
        <v>46122</v>
      </c>
      <c r="I39" s="1">
        <v>46122</v>
      </c>
      <c r="J39" t="s">
        <v>17</v>
      </c>
      <c r="K39">
        <v>36</v>
      </c>
      <c r="L39" s="2">
        <f t="shared" si="0"/>
        <v>0</v>
      </c>
      <c r="M39" t="str">
        <f t="shared" si="1"/>
        <v>Met</v>
      </c>
      <c r="N39">
        <f t="shared" si="2"/>
        <v>1</v>
      </c>
      <c r="O39" t="str">
        <f t="shared" si="3"/>
        <v>Low</v>
      </c>
    </row>
    <row r="40" spans="1:15" x14ac:dyDescent="0.2">
      <c r="A40" t="s">
        <v>79</v>
      </c>
      <c r="B40" s="1">
        <v>46120</v>
      </c>
      <c r="C40" t="s">
        <v>19</v>
      </c>
      <c r="D40" t="s">
        <v>67</v>
      </c>
      <c r="E40" t="s">
        <v>14</v>
      </c>
      <c r="F40" t="s">
        <v>21</v>
      </c>
      <c r="G40" t="s">
        <v>22</v>
      </c>
      <c r="H40" s="1">
        <v>46122</v>
      </c>
      <c r="I40" s="1">
        <v>46124</v>
      </c>
      <c r="J40" t="s">
        <v>42</v>
      </c>
      <c r="K40">
        <v>11</v>
      </c>
      <c r="L40" s="2">
        <f t="shared" si="0"/>
        <v>2</v>
      </c>
      <c r="M40" t="str">
        <f t="shared" si="1"/>
        <v>Breached</v>
      </c>
      <c r="N40">
        <f t="shared" si="2"/>
        <v>0</v>
      </c>
      <c r="O40" t="str">
        <f t="shared" si="3"/>
        <v>Medium</v>
      </c>
    </row>
    <row r="41" spans="1:15" x14ac:dyDescent="0.2">
      <c r="A41" t="s">
        <v>80</v>
      </c>
      <c r="B41" s="1">
        <v>46120</v>
      </c>
      <c r="C41" t="s">
        <v>19</v>
      </c>
      <c r="D41" t="s">
        <v>67</v>
      </c>
      <c r="E41" t="s">
        <v>14</v>
      </c>
      <c r="F41" t="s">
        <v>21</v>
      </c>
      <c r="G41" t="s">
        <v>22</v>
      </c>
      <c r="H41" s="1">
        <v>46122</v>
      </c>
      <c r="I41" s="1">
        <v>46122</v>
      </c>
      <c r="J41" t="s">
        <v>17</v>
      </c>
      <c r="K41">
        <v>14</v>
      </c>
      <c r="L41" s="2">
        <f t="shared" si="0"/>
        <v>0</v>
      </c>
      <c r="M41" t="str">
        <f t="shared" si="1"/>
        <v>Met</v>
      </c>
      <c r="N41">
        <f t="shared" si="2"/>
        <v>1</v>
      </c>
      <c r="O41" t="str">
        <f t="shared" si="3"/>
        <v>Low</v>
      </c>
    </row>
    <row r="42" spans="1:15" x14ac:dyDescent="0.2">
      <c r="A42" t="s">
        <v>81</v>
      </c>
      <c r="B42" s="1">
        <v>46120</v>
      </c>
      <c r="C42" t="s">
        <v>12</v>
      </c>
      <c r="D42" t="s">
        <v>25</v>
      </c>
      <c r="E42" t="s">
        <v>26</v>
      </c>
      <c r="F42" t="s">
        <v>35</v>
      </c>
      <c r="G42" t="s">
        <v>22</v>
      </c>
      <c r="H42" s="1">
        <v>46122</v>
      </c>
      <c r="I42" s="1">
        <v>46122</v>
      </c>
      <c r="J42" t="s">
        <v>17</v>
      </c>
      <c r="K42">
        <v>20</v>
      </c>
      <c r="L42" s="2">
        <f t="shared" si="0"/>
        <v>0</v>
      </c>
      <c r="M42" t="str">
        <f t="shared" si="1"/>
        <v>Met</v>
      </c>
      <c r="N42">
        <f t="shared" si="2"/>
        <v>1</v>
      </c>
      <c r="O42" t="str">
        <f t="shared" si="3"/>
        <v>Low</v>
      </c>
    </row>
    <row r="43" spans="1:15" x14ac:dyDescent="0.2">
      <c r="A43" t="s">
        <v>82</v>
      </c>
      <c r="B43" s="1">
        <v>46120</v>
      </c>
      <c r="C43" t="s">
        <v>48</v>
      </c>
      <c r="D43" t="s">
        <v>41</v>
      </c>
      <c r="E43" t="s">
        <v>14</v>
      </c>
      <c r="F43" t="s">
        <v>29</v>
      </c>
      <c r="G43" t="s">
        <v>14</v>
      </c>
      <c r="H43" s="1">
        <v>46123</v>
      </c>
      <c r="I43" s="1">
        <v>46123</v>
      </c>
      <c r="J43" t="s">
        <v>17</v>
      </c>
      <c r="K43">
        <v>28</v>
      </c>
      <c r="L43" s="2">
        <f t="shared" si="0"/>
        <v>0</v>
      </c>
      <c r="M43" t="str">
        <f t="shared" si="1"/>
        <v>Met</v>
      </c>
      <c r="N43">
        <f t="shared" si="2"/>
        <v>1</v>
      </c>
      <c r="O43" t="str">
        <f t="shared" si="3"/>
        <v>Low</v>
      </c>
    </row>
    <row r="44" spans="1:15" x14ac:dyDescent="0.2">
      <c r="A44" t="s">
        <v>83</v>
      </c>
      <c r="B44" s="1">
        <v>46120</v>
      </c>
      <c r="C44" t="s">
        <v>12</v>
      </c>
      <c r="D44" t="s">
        <v>67</v>
      </c>
      <c r="E44" t="s">
        <v>14</v>
      </c>
      <c r="F44" t="s">
        <v>21</v>
      </c>
      <c r="G44" t="s">
        <v>16</v>
      </c>
      <c r="H44" s="1">
        <v>46121</v>
      </c>
      <c r="I44" s="1">
        <v>46121</v>
      </c>
      <c r="J44" t="s">
        <v>17</v>
      </c>
      <c r="K44">
        <v>12</v>
      </c>
      <c r="L44" s="2">
        <f t="shared" si="0"/>
        <v>0</v>
      </c>
      <c r="M44" t="str">
        <f t="shared" si="1"/>
        <v>Met</v>
      </c>
      <c r="N44">
        <f t="shared" si="2"/>
        <v>1</v>
      </c>
      <c r="O44" t="str">
        <f t="shared" si="3"/>
        <v>Low</v>
      </c>
    </row>
    <row r="45" spans="1:15" x14ac:dyDescent="0.2">
      <c r="A45" t="s">
        <v>84</v>
      </c>
      <c r="B45" s="1">
        <v>46121</v>
      </c>
      <c r="C45" t="s">
        <v>24</v>
      </c>
      <c r="D45" t="s">
        <v>13</v>
      </c>
      <c r="E45" t="s">
        <v>14</v>
      </c>
      <c r="F45" t="s">
        <v>29</v>
      </c>
      <c r="G45" t="s">
        <v>16</v>
      </c>
      <c r="H45" s="1">
        <v>46122</v>
      </c>
      <c r="I45" s="1">
        <v>46122</v>
      </c>
      <c r="J45" t="s">
        <v>17</v>
      </c>
      <c r="K45">
        <v>20</v>
      </c>
      <c r="L45" s="2">
        <f t="shared" si="0"/>
        <v>0</v>
      </c>
      <c r="M45" t="str">
        <f t="shared" si="1"/>
        <v>Met</v>
      </c>
      <c r="N45">
        <f t="shared" si="2"/>
        <v>1</v>
      </c>
      <c r="O45" t="str">
        <f t="shared" si="3"/>
        <v>Low</v>
      </c>
    </row>
    <row r="46" spans="1:15" x14ac:dyDescent="0.2">
      <c r="A46" t="s">
        <v>85</v>
      </c>
      <c r="B46" s="1">
        <v>46121</v>
      </c>
      <c r="C46" t="s">
        <v>19</v>
      </c>
      <c r="D46" t="s">
        <v>25</v>
      </c>
      <c r="E46" t="s">
        <v>26</v>
      </c>
      <c r="F46" t="s">
        <v>75</v>
      </c>
      <c r="G46" t="s">
        <v>14</v>
      </c>
      <c r="H46" s="1">
        <v>46124</v>
      </c>
      <c r="I46" s="1">
        <v>46123</v>
      </c>
      <c r="J46" t="s">
        <v>17</v>
      </c>
      <c r="K46">
        <v>31</v>
      </c>
      <c r="L46" s="2">
        <f t="shared" si="0"/>
        <v>-1</v>
      </c>
      <c r="M46" t="str">
        <f t="shared" si="1"/>
        <v>Met</v>
      </c>
      <c r="N46">
        <f t="shared" si="2"/>
        <v>1</v>
      </c>
      <c r="O46" t="str">
        <f t="shared" si="3"/>
        <v>Low</v>
      </c>
    </row>
    <row r="47" spans="1:15" x14ac:dyDescent="0.2">
      <c r="A47" t="s">
        <v>86</v>
      </c>
      <c r="B47" s="1">
        <v>46121</v>
      </c>
      <c r="C47" t="s">
        <v>12</v>
      </c>
      <c r="D47" t="s">
        <v>46</v>
      </c>
      <c r="E47" t="s">
        <v>14</v>
      </c>
      <c r="F47" t="s">
        <v>29</v>
      </c>
      <c r="G47" t="s">
        <v>16</v>
      </c>
      <c r="H47" s="1">
        <v>46122</v>
      </c>
      <c r="I47" s="1">
        <v>46122</v>
      </c>
      <c r="J47" t="s">
        <v>17</v>
      </c>
      <c r="K47">
        <v>2</v>
      </c>
      <c r="L47" s="2">
        <f t="shared" si="0"/>
        <v>0</v>
      </c>
      <c r="M47" t="str">
        <f t="shared" si="1"/>
        <v>Met</v>
      </c>
      <c r="N47">
        <f t="shared" si="2"/>
        <v>1</v>
      </c>
      <c r="O47" t="str">
        <f t="shared" si="3"/>
        <v>Low</v>
      </c>
    </row>
    <row r="48" spans="1:15" x14ac:dyDescent="0.2">
      <c r="A48" t="s">
        <v>87</v>
      </c>
      <c r="B48" s="1">
        <v>46121</v>
      </c>
      <c r="C48" t="s">
        <v>24</v>
      </c>
      <c r="D48" t="s">
        <v>44</v>
      </c>
      <c r="E48" t="s">
        <v>26</v>
      </c>
      <c r="F48" t="s">
        <v>35</v>
      </c>
      <c r="G48" t="s">
        <v>16</v>
      </c>
      <c r="H48" s="1">
        <v>46122</v>
      </c>
      <c r="I48" s="1">
        <v>46122</v>
      </c>
      <c r="J48" t="s">
        <v>17</v>
      </c>
      <c r="K48">
        <v>27</v>
      </c>
      <c r="L48" s="2">
        <f t="shared" si="0"/>
        <v>0</v>
      </c>
      <c r="M48" t="str">
        <f t="shared" si="1"/>
        <v>Met</v>
      </c>
      <c r="N48">
        <f t="shared" si="2"/>
        <v>1</v>
      </c>
      <c r="O48" t="str">
        <f t="shared" si="3"/>
        <v>Low</v>
      </c>
    </row>
    <row r="49" spans="1:15" x14ac:dyDescent="0.2">
      <c r="A49" t="s">
        <v>88</v>
      </c>
      <c r="B49" s="1">
        <v>46121</v>
      </c>
      <c r="C49" t="s">
        <v>37</v>
      </c>
      <c r="D49" t="s">
        <v>25</v>
      </c>
      <c r="E49" t="s">
        <v>26</v>
      </c>
      <c r="F49" t="s">
        <v>29</v>
      </c>
      <c r="G49" t="s">
        <v>14</v>
      </c>
      <c r="H49" s="1">
        <v>46124</v>
      </c>
      <c r="I49" s="1">
        <v>46124</v>
      </c>
      <c r="J49" t="s">
        <v>17</v>
      </c>
      <c r="K49">
        <v>33</v>
      </c>
      <c r="L49" s="2">
        <f t="shared" si="0"/>
        <v>0</v>
      </c>
      <c r="M49" t="str">
        <f t="shared" si="1"/>
        <v>Met</v>
      </c>
      <c r="N49">
        <f t="shared" si="2"/>
        <v>1</v>
      </c>
      <c r="O49" t="str">
        <f t="shared" si="3"/>
        <v>Low</v>
      </c>
    </row>
    <row r="50" spans="1:15" x14ac:dyDescent="0.2">
      <c r="A50" t="s">
        <v>89</v>
      </c>
      <c r="B50" s="1">
        <v>46122</v>
      </c>
      <c r="C50" t="s">
        <v>19</v>
      </c>
      <c r="D50" t="s">
        <v>28</v>
      </c>
      <c r="E50" t="s">
        <v>26</v>
      </c>
      <c r="F50" t="s">
        <v>15</v>
      </c>
      <c r="G50" t="s">
        <v>22</v>
      </c>
      <c r="H50" s="1">
        <v>46124</v>
      </c>
      <c r="I50" s="1">
        <v>46124</v>
      </c>
      <c r="J50" t="s">
        <v>17</v>
      </c>
      <c r="K50">
        <v>10</v>
      </c>
      <c r="L50" s="2">
        <f t="shared" si="0"/>
        <v>0</v>
      </c>
      <c r="M50" t="str">
        <f t="shared" si="1"/>
        <v>Met</v>
      </c>
      <c r="N50">
        <f t="shared" si="2"/>
        <v>1</v>
      </c>
      <c r="O50" t="str">
        <f t="shared" si="3"/>
        <v>Low</v>
      </c>
    </row>
    <row r="51" spans="1:15" x14ac:dyDescent="0.2">
      <c r="A51" t="s">
        <v>90</v>
      </c>
      <c r="B51" s="1">
        <v>46122</v>
      </c>
      <c r="C51" t="s">
        <v>24</v>
      </c>
      <c r="D51" t="s">
        <v>49</v>
      </c>
      <c r="E51" t="s">
        <v>26</v>
      </c>
      <c r="F51" t="s">
        <v>75</v>
      </c>
      <c r="G51" t="s">
        <v>14</v>
      </c>
      <c r="H51" s="1">
        <v>46125</v>
      </c>
      <c r="I51" s="1">
        <v>46125</v>
      </c>
      <c r="J51" t="s">
        <v>17</v>
      </c>
      <c r="K51">
        <v>1</v>
      </c>
      <c r="L51" s="2">
        <f t="shared" si="0"/>
        <v>0</v>
      </c>
      <c r="M51" t="str">
        <f t="shared" si="1"/>
        <v>Met</v>
      </c>
      <c r="N51">
        <f t="shared" si="2"/>
        <v>1</v>
      </c>
      <c r="O51" t="str">
        <f t="shared" si="3"/>
        <v>Low</v>
      </c>
    </row>
    <row r="52" spans="1:15" x14ac:dyDescent="0.2">
      <c r="A52" t="s">
        <v>91</v>
      </c>
      <c r="B52" s="1">
        <v>46122</v>
      </c>
      <c r="C52" t="s">
        <v>24</v>
      </c>
      <c r="D52" t="s">
        <v>67</v>
      </c>
      <c r="E52" t="s">
        <v>14</v>
      </c>
      <c r="F52" t="s">
        <v>35</v>
      </c>
      <c r="G52" t="s">
        <v>16</v>
      </c>
      <c r="H52" s="1">
        <v>46123</v>
      </c>
      <c r="I52" s="1">
        <v>46123</v>
      </c>
      <c r="J52" t="s">
        <v>17</v>
      </c>
      <c r="K52">
        <v>6</v>
      </c>
      <c r="L52" s="2">
        <f t="shared" si="0"/>
        <v>0</v>
      </c>
      <c r="M52" t="str">
        <f t="shared" si="1"/>
        <v>Met</v>
      </c>
      <c r="N52">
        <f t="shared" si="2"/>
        <v>1</v>
      </c>
      <c r="O52" t="str">
        <f t="shared" si="3"/>
        <v>Low</v>
      </c>
    </row>
    <row r="53" spans="1:15" x14ac:dyDescent="0.2">
      <c r="A53" t="s">
        <v>92</v>
      </c>
      <c r="B53" s="1">
        <v>46122</v>
      </c>
      <c r="C53" t="s">
        <v>24</v>
      </c>
      <c r="D53" t="s">
        <v>13</v>
      </c>
      <c r="E53" t="s">
        <v>14</v>
      </c>
      <c r="F53" t="s">
        <v>31</v>
      </c>
      <c r="G53" t="s">
        <v>16</v>
      </c>
      <c r="H53" s="1">
        <v>46123</v>
      </c>
      <c r="I53" s="1">
        <v>46122</v>
      </c>
      <c r="J53" t="s">
        <v>17</v>
      </c>
      <c r="K53">
        <v>26</v>
      </c>
      <c r="L53" s="2">
        <f t="shared" si="0"/>
        <v>-1</v>
      </c>
      <c r="M53" t="str">
        <f t="shared" si="1"/>
        <v>Met</v>
      </c>
      <c r="N53">
        <f t="shared" si="2"/>
        <v>1</v>
      </c>
      <c r="O53" t="str">
        <f t="shared" si="3"/>
        <v>Low</v>
      </c>
    </row>
    <row r="54" spans="1:15" x14ac:dyDescent="0.2">
      <c r="A54" t="s">
        <v>93</v>
      </c>
      <c r="B54" s="1">
        <v>46122</v>
      </c>
      <c r="C54" t="s">
        <v>19</v>
      </c>
      <c r="D54" t="s">
        <v>67</v>
      </c>
      <c r="E54" t="s">
        <v>14</v>
      </c>
      <c r="F54" t="s">
        <v>35</v>
      </c>
      <c r="G54" t="s">
        <v>22</v>
      </c>
      <c r="H54" s="1">
        <v>46124</v>
      </c>
      <c r="I54" s="1">
        <v>46124</v>
      </c>
      <c r="J54" t="s">
        <v>17</v>
      </c>
      <c r="K54">
        <v>5</v>
      </c>
      <c r="L54" s="2">
        <f t="shared" si="0"/>
        <v>0</v>
      </c>
      <c r="M54" t="str">
        <f t="shared" si="1"/>
        <v>Met</v>
      </c>
      <c r="N54">
        <f t="shared" si="2"/>
        <v>1</v>
      </c>
      <c r="O54" t="str">
        <f t="shared" si="3"/>
        <v>Low</v>
      </c>
    </row>
    <row r="55" spans="1:15" x14ac:dyDescent="0.2">
      <c r="A55" t="s">
        <v>94</v>
      </c>
      <c r="B55" s="1">
        <v>46122</v>
      </c>
      <c r="C55" t="s">
        <v>48</v>
      </c>
      <c r="D55" t="s">
        <v>44</v>
      </c>
      <c r="E55" t="s">
        <v>26</v>
      </c>
      <c r="F55" t="s">
        <v>29</v>
      </c>
      <c r="G55" t="s">
        <v>16</v>
      </c>
      <c r="H55" s="1">
        <v>46123</v>
      </c>
      <c r="I55" s="1">
        <v>46123</v>
      </c>
      <c r="J55" t="s">
        <v>17</v>
      </c>
      <c r="K55">
        <v>16</v>
      </c>
      <c r="L55" s="2">
        <f t="shared" si="0"/>
        <v>0</v>
      </c>
      <c r="M55" t="str">
        <f t="shared" si="1"/>
        <v>Met</v>
      </c>
      <c r="N55">
        <f t="shared" si="2"/>
        <v>1</v>
      </c>
      <c r="O55" t="str">
        <f t="shared" si="3"/>
        <v>Low</v>
      </c>
    </row>
    <row r="56" spans="1:15" x14ac:dyDescent="0.2">
      <c r="A56" t="s">
        <v>95</v>
      </c>
      <c r="B56" s="1">
        <v>46122</v>
      </c>
      <c r="C56" t="s">
        <v>19</v>
      </c>
      <c r="D56" t="s">
        <v>34</v>
      </c>
      <c r="E56" t="s">
        <v>14</v>
      </c>
      <c r="F56" t="s">
        <v>15</v>
      </c>
      <c r="G56" t="s">
        <v>16</v>
      </c>
      <c r="H56" s="1">
        <v>46123</v>
      </c>
      <c r="I56" s="1">
        <v>46124</v>
      </c>
      <c r="J56" t="s">
        <v>42</v>
      </c>
      <c r="K56">
        <v>3</v>
      </c>
      <c r="L56" s="2">
        <f t="shared" si="0"/>
        <v>1</v>
      </c>
      <c r="M56" t="str">
        <f t="shared" si="1"/>
        <v>Breached</v>
      </c>
      <c r="N56">
        <f t="shared" si="2"/>
        <v>0</v>
      </c>
      <c r="O56" t="str">
        <f t="shared" si="3"/>
        <v>Medium</v>
      </c>
    </row>
    <row r="57" spans="1:15" x14ac:dyDescent="0.2">
      <c r="A57" t="s">
        <v>96</v>
      </c>
      <c r="B57" s="1">
        <v>46122</v>
      </c>
      <c r="C57" t="s">
        <v>19</v>
      </c>
      <c r="D57" t="s">
        <v>54</v>
      </c>
      <c r="E57" t="s">
        <v>14</v>
      </c>
      <c r="F57" t="s">
        <v>29</v>
      </c>
      <c r="G57" t="s">
        <v>16</v>
      </c>
      <c r="H57" s="1">
        <v>46123</v>
      </c>
      <c r="I57" s="1">
        <v>46123</v>
      </c>
      <c r="J57" t="s">
        <v>17</v>
      </c>
      <c r="K57">
        <v>28</v>
      </c>
      <c r="L57" s="2">
        <f t="shared" si="0"/>
        <v>0</v>
      </c>
      <c r="M57" t="str">
        <f t="shared" si="1"/>
        <v>Met</v>
      </c>
      <c r="N57">
        <f t="shared" si="2"/>
        <v>1</v>
      </c>
      <c r="O57" t="str">
        <f t="shared" si="3"/>
        <v>Low</v>
      </c>
    </row>
    <row r="58" spans="1:15" x14ac:dyDescent="0.2">
      <c r="A58" t="s">
        <v>97</v>
      </c>
      <c r="B58" s="1">
        <v>46122</v>
      </c>
      <c r="C58" t="s">
        <v>33</v>
      </c>
      <c r="D58" t="s">
        <v>44</v>
      </c>
      <c r="E58" t="s">
        <v>26</v>
      </c>
      <c r="F58" t="s">
        <v>35</v>
      </c>
      <c r="G58" t="s">
        <v>22</v>
      </c>
      <c r="H58" s="1">
        <v>46124</v>
      </c>
      <c r="I58" s="1">
        <v>46124</v>
      </c>
      <c r="J58" t="s">
        <v>17</v>
      </c>
      <c r="K58">
        <v>37</v>
      </c>
      <c r="L58" s="2">
        <f t="shared" si="0"/>
        <v>0</v>
      </c>
      <c r="M58" t="str">
        <f t="shared" si="1"/>
        <v>Met</v>
      </c>
      <c r="N58">
        <f t="shared" si="2"/>
        <v>1</v>
      </c>
      <c r="O58" t="str">
        <f t="shared" si="3"/>
        <v>Low</v>
      </c>
    </row>
    <row r="59" spans="1:15" x14ac:dyDescent="0.2">
      <c r="A59" t="s">
        <v>98</v>
      </c>
      <c r="B59" s="1">
        <v>46123</v>
      </c>
      <c r="C59" t="s">
        <v>24</v>
      </c>
      <c r="D59" t="s">
        <v>44</v>
      </c>
      <c r="E59" t="s">
        <v>26</v>
      </c>
      <c r="F59" t="s">
        <v>21</v>
      </c>
      <c r="G59" t="s">
        <v>22</v>
      </c>
      <c r="H59" s="1">
        <v>46125</v>
      </c>
      <c r="I59" s="1">
        <v>46126</v>
      </c>
      <c r="J59" t="s">
        <v>42</v>
      </c>
      <c r="K59">
        <v>1</v>
      </c>
      <c r="L59" s="2">
        <f t="shared" si="0"/>
        <v>1</v>
      </c>
      <c r="M59" t="str">
        <f t="shared" si="1"/>
        <v>Breached</v>
      </c>
      <c r="N59">
        <f t="shared" si="2"/>
        <v>0</v>
      </c>
      <c r="O59" t="str">
        <f t="shared" si="3"/>
        <v>High</v>
      </c>
    </row>
    <row r="60" spans="1:15" x14ac:dyDescent="0.2">
      <c r="A60" t="s">
        <v>99</v>
      </c>
      <c r="B60" s="1">
        <v>46123</v>
      </c>
      <c r="C60" t="s">
        <v>24</v>
      </c>
      <c r="D60" t="s">
        <v>41</v>
      </c>
      <c r="E60" t="s">
        <v>14</v>
      </c>
      <c r="F60" t="s">
        <v>31</v>
      </c>
      <c r="G60" t="s">
        <v>14</v>
      </c>
      <c r="H60" s="1">
        <v>46126</v>
      </c>
      <c r="I60" s="1">
        <v>46127</v>
      </c>
      <c r="J60" t="s">
        <v>42</v>
      </c>
      <c r="K60">
        <v>9</v>
      </c>
      <c r="L60" s="2">
        <f t="shared" si="0"/>
        <v>1</v>
      </c>
      <c r="M60" t="str">
        <f t="shared" si="1"/>
        <v>Breached</v>
      </c>
      <c r="N60">
        <f t="shared" si="2"/>
        <v>0</v>
      </c>
      <c r="O60" t="str">
        <f t="shared" si="3"/>
        <v>Medium</v>
      </c>
    </row>
    <row r="61" spans="1:15" x14ac:dyDescent="0.2">
      <c r="A61" t="s">
        <v>100</v>
      </c>
      <c r="B61" s="1">
        <v>46123</v>
      </c>
      <c r="C61" t="s">
        <v>48</v>
      </c>
      <c r="D61" t="s">
        <v>67</v>
      </c>
      <c r="E61" t="s">
        <v>14</v>
      </c>
      <c r="F61" t="s">
        <v>29</v>
      </c>
      <c r="G61" t="s">
        <v>14</v>
      </c>
      <c r="H61" s="1">
        <v>46126</v>
      </c>
      <c r="I61" s="1">
        <v>46125</v>
      </c>
      <c r="J61" t="s">
        <v>17</v>
      </c>
      <c r="K61">
        <v>4</v>
      </c>
      <c r="L61" s="2">
        <f t="shared" si="0"/>
        <v>-1</v>
      </c>
      <c r="M61" t="str">
        <f t="shared" si="1"/>
        <v>Met</v>
      </c>
      <c r="N61">
        <f t="shared" si="2"/>
        <v>1</v>
      </c>
      <c r="O61" t="str">
        <f t="shared" si="3"/>
        <v>Low</v>
      </c>
    </row>
    <row r="62" spans="1:15" x14ac:dyDescent="0.2">
      <c r="A62" t="s">
        <v>101</v>
      </c>
      <c r="B62" s="1">
        <v>46123</v>
      </c>
      <c r="C62" t="s">
        <v>48</v>
      </c>
      <c r="D62" t="s">
        <v>20</v>
      </c>
      <c r="E62" t="s">
        <v>14</v>
      </c>
      <c r="F62" t="s">
        <v>21</v>
      </c>
      <c r="G62" t="s">
        <v>22</v>
      </c>
      <c r="H62" s="1">
        <v>46125</v>
      </c>
      <c r="I62" s="1">
        <v>46125</v>
      </c>
      <c r="J62" t="s">
        <v>17</v>
      </c>
      <c r="K62">
        <v>40</v>
      </c>
      <c r="L62" s="2">
        <f t="shared" si="0"/>
        <v>0</v>
      </c>
      <c r="M62" t="str">
        <f t="shared" si="1"/>
        <v>Met</v>
      </c>
      <c r="N62">
        <f t="shared" si="2"/>
        <v>1</v>
      </c>
      <c r="O62" t="str">
        <f t="shared" si="3"/>
        <v>Low</v>
      </c>
    </row>
    <row r="63" spans="1:15" x14ac:dyDescent="0.2">
      <c r="A63" t="s">
        <v>102</v>
      </c>
      <c r="B63" s="1">
        <v>46123</v>
      </c>
      <c r="C63" t="s">
        <v>33</v>
      </c>
      <c r="D63" t="s">
        <v>28</v>
      </c>
      <c r="E63" t="s">
        <v>26</v>
      </c>
      <c r="F63" t="s">
        <v>35</v>
      </c>
      <c r="G63" t="s">
        <v>16</v>
      </c>
      <c r="H63" s="1">
        <v>46124</v>
      </c>
      <c r="I63" s="1">
        <v>46124</v>
      </c>
      <c r="J63" t="s">
        <v>17</v>
      </c>
      <c r="K63">
        <v>16</v>
      </c>
      <c r="L63" s="2">
        <f t="shared" si="0"/>
        <v>0</v>
      </c>
      <c r="M63" t="str">
        <f t="shared" si="1"/>
        <v>Met</v>
      </c>
      <c r="N63">
        <f t="shared" si="2"/>
        <v>1</v>
      </c>
      <c r="O63" t="str">
        <f t="shared" si="3"/>
        <v>Low</v>
      </c>
    </row>
    <row r="64" spans="1:15" x14ac:dyDescent="0.2">
      <c r="A64" t="s">
        <v>103</v>
      </c>
      <c r="B64" s="1">
        <v>46123</v>
      </c>
      <c r="C64" t="s">
        <v>12</v>
      </c>
      <c r="D64" t="s">
        <v>25</v>
      </c>
      <c r="E64" t="s">
        <v>26</v>
      </c>
      <c r="F64" t="s">
        <v>75</v>
      </c>
      <c r="G64" t="s">
        <v>16</v>
      </c>
      <c r="H64" s="1">
        <v>46124</v>
      </c>
      <c r="I64" s="1">
        <v>46124</v>
      </c>
      <c r="J64" t="s">
        <v>17</v>
      </c>
      <c r="K64">
        <v>27</v>
      </c>
      <c r="L64" s="2">
        <f t="shared" si="0"/>
        <v>0</v>
      </c>
      <c r="M64" t="str">
        <f t="shared" si="1"/>
        <v>Met</v>
      </c>
      <c r="N64">
        <f t="shared" si="2"/>
        <v>1</v>
      </c>
      <c r="O64" t="str">
        <f t="shared" si="3"/>
        <v>Low</v>
      </c>
    </row>
    <row r="65" spans="1:15" x14ac:dyDescent="0.2">
      <c r="A65" t="s">
        <v>104</v>
      </c>
      <c r="B65" s="1">
        <v>46123</v>
      </c>
      <c r="C65" t="s">
        <v>37</v>
      </c>
      <c r="D65" t="s">
        <v>39</v>
      </c>
      <c r="E65" t="s">
        <v>26</v>
      </c>
      <c r="F65" t="s">
        <v>21</v>
      </c>
      <c r="G65" t="s">
        <v>22</v>
      </c>
      <c r="H65" s="1">
        <v>46125</v>
      </c>
      <c r="I65" s="1">
        <v>46125</v>
      </c>
      <c r="J65" t="s">
        <v>17</v>
      </c>
      <c r="K65">
        <v>16</v>
      </c>
      <c r="L65" s="2">
        <f t="shared" si="0"/>
        <v>0</v>
      </c>
      <c r="M65" t="str">
        <f t="shared" si="1"/>
        <v>Met</v>
      </c>
      <c r="N65">
        <f t="shared" si="2"/>
        <v>1</v>
      </c>
      <c r="O65" t="str">
        <f t="shared" si="3"/>
        <v>Low</v>
      </c>
    </row>
    <row r="66" spans="1:15" x14ac:dyDescent="0.2">
      <c r="A66" t="s">
        <v>105</v>
      </c>
      <c r="B66" s="1">
        <v>46123</v>
      </c>
      <c r="C66" t="s">
        <v>19</v>
      </c>
      <c r="D66" t="s">
        <v>41</v>
      </c>
      <c r="E66" t="s">
        <v>14</v>
      </c>
      <c r="F66" t="s">
        <v>29</v>
      </c>
      <c r="G66" t="s">
        <v>14</v>
      </c>
      <c r="H66" s="1">
        <v>46126</v>
      </c>
      <c r="I66" s="1">
        <v>46126</v>
      </c>
      <c r="J66" t="s">
        <v>17</v>
      </c>
      <c r="K66">
        <v>40</v>
      </c>
      <c r="L66" s="2">
        <f t="shared" ref="L66:L129" si="4">I66-H66</f>
        <v>0</v>
      </c>
      <c r="M66" t="str">
        <f t="shared" ref="M66:M129" si="5">IF(I66&lt;=H66, "Met", "Breached")</f>
        <v>Met</v>
      </c>
      <c r="N66">
        <f t="shared" ref="N66:N129" si="6">IF(M66="Met", 1,0)</f>
        <v>1</v>
      </c>
      <c r="O66" t="str">
        <f t="shared" ref="O66:O129" si="7">IF(AND(E66="VIP", M66="Breached"), "High", IF(M66="Breached","Medium", "Low"))</f>
        <v>Low</v>
      </c>
    </row>
    <row r="67" spans="1:15" x14ac:dyDescent="0.2">
      <c r="A67" t="s">
        <v>106</v>
      </c>
      <c r="B67" s="1">
        <v>46123</v>
      </c>
      <c r="C67" t="s">
        <v>33</v>
      </c>
      <c r="D67" t="s">
        <v>34</v>
      </c>
      <c r="E67" t="s">
        <v>14</v>
      </c>
      <c r="F67" t="s">
        <v>21</v>
      </c>
      <c r="G67" t="s">
        <v>16</v>
      </c>
      <c r="H67" s="1">
        <v>46124</v>
      </c>
      <c r="I67" s="1">
        <v>46123</v>
      </c>
      <c r="J67" t="s">
        <v>17</v>
      </c>
      <c r="K67">
        <v>11</v>
      </c>
      <c r="L67" s="2">
        <f t="shared" si="4"/>
        <v>-1</v>
      </c>
      <c r="M67" t="str">
        <f t="shared" si="5"/>
        <v>Met</v>
      </c>
      <c r="N67">
        <f t="shared" si="6"/>
        <v>1</v>
      </c>
      <c r="O67" t="str">
        <f t="shared" si="7"/>
        <v>Low</v>
      </c>
    </row>
    <row r="68" spans="1:15" x14ac:dyDescent="0.2">
      <c r="A68" t="s">
        <v>107</v>
      </c>
      <c r="B68" s="1">
        <v>46124</v>
      </c>
      <c r="C68" t="s">
        <v>37</v>
      </c>
      <c r="D68" t="s">
        <v>39</v>
      </c>
      <c r="E68" t="s">
        <v>26</v>
      </c>
      <c r="F68" t="s">
        <v>15</v>
      </c>
      <c r="G68" t="s">
        <v>16</v>
      </c>
      <c r="H68" s="1">
        <v>46125</v>
      </c>
      <c r="I68" s="1">
        <v>46125</v>
      </c>
      <c r="J68" t="s">
        <v>17</v>
      </c>
      <c r="K68">
        <v>21</v>
      </c>
      <c r="L68" s="2">
        <f t="shared" si="4"/>
        <v>0</v>
      </c>
      <c r="M68" t="str">
        <f t="shared" si="5"/>
        <v>Met</v>
      </c>
      <c r="N68">
        <f t="shared" si="6"/>
        <v>1</v>
      </c>
      <c r="O68" t="str">
        <f t="shared" si="7"/>
        <v>Low</v>
      </c>
    </row>
    <row r="69" spans="1:15" x14ac:dyDescent="0.2">
      <c r="A69" t="s">
        <v>108</v>
      </c>
      <c r="B69" s="1">
        <v>46124</v>
      </c>
      <c r="C69" t="s">
        <v>19</v>
      </c>
      <c r="D69" t="s">
        <v>67</v>
      </c>
      <c r="E69" t="s">
        <v>14</v>
      </c>
      <c r="F69" t="s">
        <v>29</v>
      </c>
      <c r="G69" t="s">
        <v>16</v>
      </c>
      <c r="H69" s="1">
        <v>46125</v>
      </c>
      <c r="I69" s="1">
        <v>46125</v>
      </c>
      <c r="J69" t="s">
        <v>17</v>
      </c>
      <c r="K69">
        <v>21</v>
      </c>
      <c r="L69" s="2">
        <f t="shared" si="4"/>
        <v>0</v>
      </c>
      <c r="M69" t="str">
        <f t="shared" si="5"/>
        <v>Met</v>
      </c>
      <c r="N69">
        <f t="shared" si="6"/>
        <v>1</v>
      </c>
      <c r="O69" t="str">
        <f t="shared" si="7"/>
        <v>Low</v>
      </c>
    </row>
    <row r="70" spans="1:15" x14ac:dyDescent="0.2">
      <c r="A70" t="s">
        <v>109</v>
      </c>
      <c r="B70" s="1">
        <v>46124</v>
      </c>
      <c r="C70" t="s">
        <v>24</v>
      </c>
      <c r="D70" t="s">
        <v>39</v>
      </c>
      <c r="E70" t="s">
        <v>26</v>
      </c>
      <c r="F70" t="s">
        <v>35</v>
      </c>
      <c r="G70" t="s">
        <v>16</v>
      </c>
      <c r="H70" s="1">
        <v>46125</v>
      </c>
      <c r="I70" s="1">
        <v>46125</v>
      </c>
      <c r="J70" t="s">
        <v>17</v>
      </c>
      <c r="K70">
        <v>4</v>
      </c>
      <c r="L70" s="2">
        <f t="shared" si="4"/>
        <v>0</v>
      </c>
      <c r="M70" t="str">
        <f t="shared" si="5"/>
        <v>Met</v>
      </c>
      <c r="N70">
        <f t="shared" si="6"/>
        <v>1</v>
      </c>
      <c r="O70" t="str">
        <f t="shared" si="7"/>
        <v>Low</v>
      </c>
    </row>
    <row r="71" spans="1:15" x14ac:dyDescent="0.2">
      <c r="A71" t="s">
        <v>110</v>
      </c>
      <c r="B71" s="1">
        <v>46125</v>
      </c>
      <c r="C71" t="s">
        <v>12</v>
      </c>
      <c r="D71" t="s">
        <v>25</v>
      </c>
      <c r="E71" t="s">
        <v>26</v>
      </c>
      <c r="F71" t="s">
        <v>31</v>
      </c>
      <c r="G71" t="s">
        <v>16</v>
      </c>
      <c r="H71" s="1">
        <v>46126</v>
      </c>
      <c r="I71" s="1">
        <v>46126</v>
      </c>
      <c r="J71" t="s">
        <v>17</v>
      </c>
      <c r="K71">
        <v>34</v>
      </c>
      <c r="L71" s="2">
        <f t="shared" si="4"/>
        <v>0</v>
      </c>
      <c r="M71" t="str">
        <f t="shared" si="5"/>
        <v>Met</v>
      </c>
      <c r="N71">
        <f t="shared" si="6"/>
        <v>1</v>
      </c>
      <c r="O71" t="str">
        <f t="shared" si="7"/>
        <v>Low</v>
      </c>
    </row>
    <row r="72" spans="1:15" x14ac:dyDescent="0.2">
      <c r="A72" t="s">
        <v>111</v>
      </c>
      <c r="B72" s="1">
        <v>46125</v>
      </c>
      <c r="C72" t="s">
        <v>33</v>
      </c>
      <c r="D72" t="s">
        <v>41</v>
      </c>
      <c r="E72" t="s">
        <v>14</v>
      </c>
      <c r="F72" t="s">
        <v>75</v>
      </c>
      <c r="G72" t="s">
        <v>22</v>
      </c>
      <c r="H72" s="1">
        <v>46127</v>
      </c>
      <c r="I72" s="1">
        <v>46127</v>
      </c>
      <c r="J72" t="s">
        <v>17</v>
      </c>
      <c r="K72">
        <v>17</v>
      </c>
      <c r="L72" s="2">
        <f t="shared" si="4"/>
        <v>0</v>
      </c>
      <c r="M72" t="str">
        <f t="shared" si="5"/>
        <v>Met</v>
      </c>
      <c r="N72">
        <f t="shared" si="6"/>
        <v>1</v>
      </c>
      <c r="O72" t="str">
        <f t="shared" si="7"/>
        <v>Low</v>
      </c>
    </row>
    <row r="73" spans="1:15" x14ac:dyDescent="0.2">
      <c r="A73" t="s">
        <v>112</v>
      </c>
      <c r="B73" s="1">
        <v>46125</v>
      </c>
      <c r="C73" t="s">
        <v>24</v>
      </c>
      <c r="D73" t="s">
        <v>46</v>
      </c>
      <c r="E73" t="s">
        <v>14</v>
      </c>
      <c r="F73" t="s">
        <v>31</v>
      </c>
      <c r="G73" t="s">
        <v>14</v>
      </c>
      <c r="H73" s="1">
        <v>46128</v>
      </c>
      <c r="I73" s="1">
        <v>46128</v>
      </c>
      <c r="J73" t="s">
        <v>17</v>
      </c>
      <c r="K73">
        <v>22</v>
      </c>
      <c r="L73" s="2">
        <f t="shared" si="4"/>
        <v>0</v>
      </c>
      <c r="M73" t="str">
        <f t="shared" si="5"/>
        <v>Met</v>
      </c>
      <c r="N73">
        <f t="shared" si="6"/>
        <v>1</v>
      </c>
      <c r="O73" t="str">
        <f t="shared" si="7"/>
        <v>Low</v>
      </c>
    </row>
    <row r="74" spans="1:15" x14ac:dyDescent="0.2">
      <c r="A74" t="s">
        <v>113</v>
      </c>
      <c r="B74" s="1">
        <v>46125</v>
      </c>
      <c r="C74" t="s">
        <v>12</v>
      </c>
      <c r="D74" t="s">
        <v>34</v>
      </c>
      <c r="E74" t="s">
        <v>14</v>
      </c>
      <c r="F74" t="s">
        <v>15</v>
      </c>
      <c r="G74" t="s">
        <v>14</v>
      </c>
      <c r="H74" s="1">
        <v>46128</v>
      </c>
      <c r="I74" s="1">
        <v>46128</v>
      </c>
      <c r="J74" t="s">
        <v>17</v>
      </c>
      <c r="K74">
        <v>7</v>
      </c>
      <c r="L74" s="2">
        <f t="shared" si="4"/>
        <v>0</v>
      </c>
      <c r="M74" t="str">
        <f t="shared" si="5"/>
        <v>Met</v>
      </c>
      <c r="N74">
        <f t="shared" si="6"/>
        <v>1</v>
      </c>
      <c r="O74" t="str">
        <f t="shared" si="7"/>
        <v>Low</v>
      </c>
    </row>
    <row r="75" spans="1:15" x14ac:dyDescent="0.2">
      <c r="A75" t="s">
        <v>114</v>
      </c>
      <c r="B75" s="1">
        <v>46125</v>
      </c>
      <c r="C75" t="s">
        <v>48</v>
      </c>
      <c r="D75" t="s">
        <v>67</v>
      </c>
      <c r="E75" t="s">
        <v>14</v>
      </c>
      <c r="F75" t="s">
        <v>31</v>
      </c>
      <c r="G75" t="s">
        <v>14</v>
      </c>
      <c r="H75" s="1">
        <v>46128</v>
      </c>
      <c r="I75" s="1">
        <v>46128</v>
      </c>
      <c r="J75" t="s">
        <v>17</v>
      </c>
      <c r="K75">
        <v>34</v>
      </c>
      <c r="L75" s="2">
        <f t="shared" si="4"/>
        <v>0</v>
      </c>
      <c r="M75" t="str">
        <f t="shared" si="5"/>
        <v>Met</v>
      </c>
      <c r="N75">
        <f t="shared" si="6"/>
        <v>1</v>
      </c>
      <c r="O75" t="str">
        <f t="shared" si="7"/>
        <v>Low</v>
      </c>
    </row>
    <row r="76" spans="1:15" x14ac:dyDescent="0.2">
      <c r="A76" t="s">
        <v>115</v>
      </c>
      <c r="B76" s="1">
        <v>46126</v>
      </c>
      <c r="C76" t="s">
        <v>48</v>
      </c>
      <c r="D76" t="s">
        <v>39</v>
      </c>
      <c r="E76" t="s">
        <v>26</v>
      </c>
      <c r="F76" t="s">
        <v>21</v>
      </c>
      <c r="G76" t="s">
        <v>14</v>
      </c>
      <c r="H76" s="1">
        <v>46129</v>
      </c>
      <c r="I76" s="1">
        <v>46129</v>
      </c>
      <c r="J76" t="s">
        <v>17</v>
      </c>
      <c r="K76">
        <v>22</v>
      </c>
      <c r="L76" s="2">
        <f t="shared" si="4"/>
        <v>0</v>
      </c>
      <c r="M76" t="str">
        <f t="shared" si="5"/>
        <v>Met</v>
      </c>
      <c r="N76">
        <f t="shared" si="6"/>
        <v>1</v>
      </c>
      <c r="O76" t="str">
        <f t="shared" si="7"/>
        <v>Low</v>
      </c>
    </row>
    <row r="77" spans="1:15" x14ac:dyDescent="0.2">
      <c r="A77" t="s">
        <v>116</v>
      </c>
      <c r="B77" s="1">
        <v>46126</v>
      </c>
      <c r="C77" t="s">
        <v>24</v>
      </c>
      <c r="D77" t="s">
        <v>67</v>
      </c>
      <c r="E77" t="s">
        <v>14</v>
      </c>
      <c r="F77" t="s">
        <v>21</v>
      </c>
      <c r="G77" t="s">
        <v>16</v>
      </c>
      <c r="H77" s="1">
        <v>46127</v>
      </c>
      <c r="I77" s="1">
        <v>46130</v>
      </c>
      <c r="J77" t="s">
        <v>42</v>
      </c>
      <c r="K77">
        <v>18</v>
      </c>
      <c r="L77" s="2">
        <f t="shared" si="4"/>
        <v>3</v>
      </c>
      <c r="M77" t="str">
        <f t="shared" si="5"/>
        <v>Breached</v>
      </c>
      <c r="N77">
        <f t="shared" si="6"/>
        <v>0</v>
      </c>
      <c r="O77" t="str">
        <f t="shared" si="7"/>
        <v>Medium</v>
      </c>
    </row>
    <row r="78" spans="1:15" x14ac:dyDescent="0.2">
      <c r="A78" t="s">
        <v>117</v>
      </c>
      <c r="B78" s="1">
        <v>46126</v>
      </c>
      <c r="C78" t="s">
        <v>48</v>
      </c>
      <c r="D78" t="s">
        <v>44</v>
      </c>
      <c r="E78" t="s">
        <v>26</v>
      </c>
      <c r="F78" t="s">
        <v>29</v>
      </c>
      <c r="G78" t="s">
        <v>14</v>
      </c>
      <c r="H78" s="1">
        <v>46129</v>
      </c>
      <c r="I78" s="1">
        <v>46129</v>
      </c>
      <c r="J78" t="s">
        <v>17</v>
      </c>
      <c r="K78">
        <v>27</v>
      </c>
      <c r="L78" s="2">
        <f t="shared" si="4"/>
        <v>0</v>
      </c>
      <c r="M78" t="str">
        <f t="shared" si="5"/>
        <v>Met</v>
      </c>
      <c r="N78">
        <f t="shared" si="6"/>
        <v>1</v>
      </c>
      <c r="O78" t="str">
        <f t="shared" si="7"/>
        <v>Low</v>
      </c>
    </row>
    <row r="79" spans="1:15" x14ac:dyDescent="0.2">
      <c r="A79" t="s">
        <v>118</v>
      </c>
      <c r="B79" s="1">
        <v>46126</v>
      </c>
      <c r="C79" t="s">
        <v>24</v>
      </c>
      <c r="D79" t="s">
        <v>13</v>
      </c>
      <c r="E79" t="s">
        <v>14</v>
      </c>
      <c r="F79" t="s">
        <v>31</v>
      </c>
      <c r="G79" t="s">
        <v>16</v>
      </c>
      <c r="H79" s="1">
        <v>46127</v>
      </c>
      <c r="I79" s="1">
        <v>46127</v>
      </c>
      <c r="J79" t="s">
        <v>17</v>
      </c>
      <c r="K79">
        <v>34</v>
      </c>
      <c r="L79" s="2">
        <f t="shared" si="4"/>
        <v>0</v>
      </c>
      <c r="M79" t="str">
        <f t="shared" si="5"/>
        <v>Met</v>
      </c>
      <c r="N79">
        <f t="shared" si="6"/>
        <v>1</v>
      </c>
      <c r="O79" t="str">
        <f t="shared" si="7"/>
        <v>Low</v>
      </c>
    </row>
    <row r="80" spans="1:15" x14ac:dyDescent="0.2">
      <c r="A80" t="s">
        <v>119</v>
      </c>
      <c r="B80" s="1">
        <v>46126</v>
      </c>
      <c r="C80" t="s">
        <v>33</v>
      </c>
      <c r="D80" t="s">
        <v>67</v>
      </c>
      <c r="E80" t="s">
        <v>14</v>
      </c>
      <c r="F80" t="s">
        <v>29</v>
      </c>
      <c r="G80" t="s">
        <v>16</v>
      </c>
      <c r="H80" s="1">
        <v>46127</v>
      </c>
      <c r="I80" s="1">
        <v>46127</v>
      </c>
      <c r="J80" t="s">
        <v>17</v>
      </c>
      <c r="K80">
        <v>29</v>
      </c>
      <c r="L80" s="2">
        <f t="shared" si="4"/>
        <v>0</v>
      </c>
      <c r="M80" t="str">
        <f t="shared" si="5"/>
        <v>Met</v>
      </c>
      <c r="N80">
        <f t="shared" si="6"/>
        <v>1</v>
      </c>
      <c r="O80" t="str">
        <f t="shared" si="7"/>
        <v>Low</v>
      </c>
    </row>
    <row r="81" spans="1:15" x14ac:dyDescent="0.2">
      <c r="A81" t="s">
        <v>120</v>
      </c>
      <c r="B81" s="1">
        <v>46126</v>
      </c>
      <c r="C81" t="s">
        <v>24</v>
      </c>
      <c r="D81" t="s">
        <v>34</v>
      </c>
      <c r="E81" t="s">
        <v>14</v>
      </c>
      <c r="F81" t="s">
        <v>15</v>
      </c>
      <c r="G81" t="s">
        <v>14</v>
      </c>
      <c r="H81" s="1">
        <v>46129</v>
      </c>
      <c r="I81" s="1">
        <v>46129</v>
      </c>
      <c r="J81" t="s">
        <v>17</v>
      </c>
      <c r="K81">
        <v>39</v>
      </c>
      <c r="L81" s="2">
        <f t="shared" si="4"/>
        <v>0</v>
      </c>
      <c r="M81" t="str">
        <f t="shared" si="5"/>
        <v>Met</v>
      </c>
      <c r="N81">
        <f t="shared" si="6"/>
        <v>1</v>
      </c>
      <c r="O81" t="str">
        <f t="shared" si="7"/>
        <v>Low</v>
      </c>
    </row>
    <row r="82" spans="1:15" x14ac:dyDescent="0.2">
      <c r="A82" t="s">
        <v>121</v>
      </c>
      <c r="B82" s="1">
        <v>46127</v>
      </c>
      <c r="C82" t="s">
        <v>37</v>
      </c>
      <c r="D82" t="s">
        <v>28</v>
      </c>
      <c r="E82" t="s">
        <v>26</v>
      </c>
      <c r="F82" t="s">
        <v>15</v>
      </c>
      <c r="G82" t="s">
        <v>22</v>
      </c>
      <c r="H82" s="1">
        <v>46129</v>
      </c>
      <c r="I82" s="1">
        <v>46129</v>
      </c>
      <c r="J82" t="s">
        <v>17</v>
      </c>
      <c r="K82">
        <v>38</v>
      </c>
      <c r="L82" s="2">
        <f t="shared" si="4"/>
        <v>0</v>
      </c>
      <c r="M82" t="str">
        <f t="shared" si="5"/>
        <v>Met</v>
      </c>
      <c r="N82">
        <f t="shared" si="6"/>
        <v>1</v>
      </c>
      <c r="O82" t="str">
        <f t="shared" si="7"/>
        <v>Low</v>
      </c>
    </row>
    <row r="83" spans="1:15" x14ac:dyDescent="0.2">
      <c r="A83" t="s">
        <v>122</v>
      </c>
      <c r="B83" s="1">
        <v>46127</v>
      </c>
      <c r="C83" t="s">
        <v>37</v>
      </c>
      <c r="D83" t="s">
        <v>46</v>
      </c>
      <c r="E83" t="s">
        <v>14</v>
      </c>
      <c r="F83" t="s">
        <v>35</v>
      </c>
      <c r="G83" t="s">
        <v>22</v>
      </c>
      <c r="H83" s="1">
        <v>46129</v>
      </c>
      <c r="I83" s="1">
        <v>46129</v>
      </c>
      <c r="J83" t="s">
        <v>17</v>
      </c>
      <c r="K83">
        <v>40</v>
      </c>
      <c r="L83" s="2">
        <f t="shared" si="4"/>
        <v>0</v>
      </c>
      <c r="M83" t="str">
        <f t="shared" si="5"/>
        <v>Met</v>
      </c>
      <c r="N83">
        <f t="shared" si="6"/>
        <v>1</v>
      </c>
      <c r="O83" t="str">
        <f t="shared" si="7"/>
        <v>Low</v>
      </c>
    </row>
    <row r="84" spans="1:15" x14ac:dyDescent="0.2">
      <c r="A84" t="s">
        <v>123</v>
      </c>
      <c r="B84" s="1">
        <v>46127</v>
      </c>
      <c r="C84" t="s">
        <v>24</v>
      </c>
      <c r="D84" t="s">
        <v>46</v>
      </c>
      <c r="E84" t="s">
        <v>14</v>
      </c>
      <c r="F84" t="s">
        <v>75</v>
      </c>
      <c r="G84" t="s">
        <v>16</v>
      </c>
      <c r="H84" s="1">
        <v>46128</v>
      </c>
      <c r="I84" s="1">
        <v>46128</v>
      </c>
      <c r="J84" t="s">
        <v>17</v>
      </c>
      <c r="K84">
        <v>8</v>
      </c>
      <c r="L84" s="2">
        <f t="shared" si="4"/>
        <v>0</v>
      </c>
      <c r="M84" t="str">
        <f t="shared" si="5"/>
        <v>Met</v>
      </c>
      <c r="N84">
        <f t="shared" si="6"/>
        <v>1</v>
      </c>
      <c r="O84" t="str">
        <f t="shared" si="7"/>
        <v>Low</v>
      </c>
    </row>
    <row r="85" spans="1:15" x14ac:dyDescent="0.2">
      <c r="A85" t="s">
        <v>124</v>
      </c>
      <c r="B85" s="1">
        <v>46127</v>
      </c>
      <c r="C85" t="s">
        <v>12</v>
      </c>
      <c r="D85" t="s">
        <v>20</v>
      </c>
      <c r="E85" t="s">
        <v>14</v>
      </c>
      <c r="F85" t="s">
        <v>35</v>
      </c>
      <c r="G85" t="s">
        <v>22</v>
      </c>
      <c r="H85" s="1">
        <v>46129</v>
      </c>
      <c r="I85" s="1">
        <v>46129</v>
      </c>
      <c r="J85" t="s">
        <v>17</v>
      </c>
      <c r="K85">
        <v>24</v>
      </c>
      <c r="L85" s="2">
        <f t="shared" si="4"/>
        <v>0</v>
      </c>
      <c r="M85" t="str">
        <f t="shared" si="5"/>
        <v>Met</v>
      </c>
      <c r="N85">
        <f t="shared" si="6"/>
        <v>1</v>
      </c>
      <c r="O85" t="str">
        <f t="shared" si="7"/>
        <v>Low</v>
      </c>
    </row>
    <row r="86" spans="1:15" x14ac:dyDescent="0.2">
      <c r="A86" t="s">
        <v>125</v>
      </c>
      <c r="B86" s="1">
        <v>46127</v>
      </c>
      <c r="C86" t="s">
        <v>33</v>
      </c>
      <c r="D86" t="s">
        <v>13</v>
      </c>
      <c r="E86" t="s">
        <v>14</v>
      </c>
      <c r="F86" t="s">
        <v>21</v>
      </c>
      <c r="G86" t="s">
        <v>22</v>
      </c>
      <c r="H86" s="1">
        <v>46129</v>
      </c>
      <c r="I86" s="1">
        <v>46129</v>
      </c>
      <c r="J86" t="s">
        <v>17</v>
      </c>
      <c r="K86">
        <v>2</v>
      </c>
      <c r="L86" s="2">
        <f t="shared" si="4"/>
        <v>0</v>
      </c>
      <c r="M86" t="str">
        <f t="shared" si="5"/>
        <v>Met</v>
      </c>
      <c r="N86">
        <f t="shared" si="6"/>
        <v>1</v>
      </c>
      <c r="O86" t="str">
        <f t="shared" si="7"/>
        <v>Low</v>
      </c>
    </row>
    <row r="87" spans="1:15" x14ac:dyDescent="0.2">
      <c r="A87" t="s">
        <v>126</v>
      </c>
      <c r="B87" s="1">
        <v>46127</v>
      </c>
      <c r="C87" t="s">
        <v>48</v>
      </c>
      <c r="D87" t="s">
        <v>54</v>
      </c>
      <c r="E87" t="s">
        <v>14</v>
      </c>
      <c r="F87" t="s">
        <v>31</v>
      </c>
      <c r="G87" t="s">
        <v>22</v>
      </c>
      <c r="H87" s="1">
        <v>46129</v>
      </c>
      <c r="I87" s="1">
        <v>46129</v>
      </c>
      <c r="J87" t="s">
        <v>17</v>
      </c>
      <c r="K87">
        <v>18</v>
      </c>
      <c r="L87" s="2">
        <f t="shared" si="4"/>
        <v>0</v>
      </c>
      <c r="M87" t="str">
        <f t="shared" si="5"/>
        <v>Met</v>
      </c>
      <c r="N87">
        <f t="shared" si="6"/>
        <v>1</v>
      </c>
      <c r="O87" t="str">
        <f t="shared" si="7"/>
        <v>Low</v>
      </c>
    </row>
    <row r="88" spans="1:15" x14ac:dyDescent="0.2">
      <c r="A88" t="s">
        <v>127</v>
      </c>
      <c r="B88" s="1">
        <v>46127</v>
      </c>
      <c r="C88" t="s">
        <v>48</v>
      </c>
      <c r="D88" t="s">
        <v>25</v>
      </c>
      <c r="E88" t="s">
        <v>26</v>
      </c>
      <c r="F88" t="s">
        <v>75</v>
      </c>
      <c r="G88" t="s">
        <v>22</v>
      </c>
      <c r="H88" s="1">
        <v>46129</v>
      </c>
      <c r="I88" s="1">
        <v>46129</v>
      </c>
      <c r="J88" t="s">
        <v>17</v>
      </c>
      <c r="K88">
        <v>20</v>
      </c>
      <c r="L88" s="2">
        <f t="shared" si="4"/>
        <v>0</v>
      </c>
      <c r="M88" t="str">
        <f t="shared" si="5"/>
        <v>Met</v>
      </c>
      <c r="N88">
        <f t="shared" si="6"/>
        <v>1</v>
      </c>
      <c r="O88" t="str">
        <f t="shared" si="7"/>
        <v>Low</v>
      </c>
    </row>
    <row r="89" spans="1:15" x14ac:dyDescent="0.2">
      <c r="A89" t="s">
        <v>128</v>
      </c>
      <c r="B89" s="1">
        <v>46128</v>
      </c>
      <c r="C89" t="s">
        <v>48</v>
      </c>
      <c r="D89" t="s">
        <v>13</v>
      </c>
      <c r="E89" t="s">
        <v>14</v>
      </c>
      <c r="F89" t="s">
        <v>31</v>
      </c>
      <c r="G89" t="s">
        <v>16</v>
      </c>
      <c r="H89" s="1">
        <v>46129</v>
      </c>
      <c r="I89" s="1">
        <v>46129</v>
      </c>
      <c r="J89" t="s">
        <v>17</v>
      </c>
      <c r="K89">
        <v>38</v>
      </c>
      <c r="L89" s="2">
        <f t="shared" si="4"/>
        <v>0</v>
      </c>
      <c r="M89" t="str">
        <f t="shared" si="5"/>
        <v>Met</v>
      </c>
      <c r="N89">
        <f t="shared" si="6"/>
        <v>1</v>
      </c>
      <c r="O89" t="str">
        <f t="shared" si="7"/>
        <v>Low</v>
      </c>
    </row>
    <row r="90" spans="1:15" x14ac:dyDescent="0.2">
      <c r="A90" t="s">
        <v>129</v>
      </c>
      <c r="B90" s="1">
        <v>46128</v>
      </c>
      <c r="C90" t="s">
        <v>33</v>
      </c>
      <c r="D90" t="s">
        <v>44</v>
      </c>
      <c r="E90" t="s">
        <v>26</v>
      </c>
      <c r="F90" t="s">
        <v>15</v>
      </c>
      <c r="G90" t="s">
        <v>22</v>
      </c>
      <c r="H90" s="1">
        <v>46130</v>
      </c>
      <c r="I90" s="1">
        <v>46130</v>
      </c>
      <c r="J90" t="s">
        <v>17</v>
      </c>
      <c r="K90">
        <v>16</v>
      </c>
      <c r="L90" s="2">
        <f t="shared" si="4"/>
        <v>0</v>
      </c>
      <c r="M90" t="str">
        <f t="shared" si="5"/>
        <v>Met</v>
      </c>
      <c r="N90">
        <f t="shared" si="6"/>
        <v>1</v>
      </c>
      <c r="O90" t="str">
        <f t="shared" si="7"/>
        <v>Low</v>
      </c>
    </row>
    <row r="91" spans="1:15" x14ac:dyDescent="0.2">
      <c r="A91" t="s">
        <v>130</v>
      </c>
      <c r="B91" s="1">
        <v>46128</v>
      </c>
      <c r="C91" t="s">
        <v>33</v>
      </c>
      <c r="D91" t="s">
        <v>49</v>
      </c>
      <c r="E91" t="s">
        <v>26</v>
      </c>
      <c r="F91" t="s">
        <v>29</v>
      </c>
      <c r="G91" t="s">
        <v>16</v>
      </c>
      <c r="H91" s="1">
        <v>46129</v>
      </c>
      <c r="I91" s="1">
        <v>46129</v>
      </c>
      <c r="J91" t="s">
        <v>17</v>
      </c>
      <c r="K91">
        <v>9</v>
      </c>
      <c r="L91" s="2">
        <f t="shared" si="4"/>
        <v>0</v>
      </c>
      <c r="M91" t="str">
        <f t="shared" si="5"/>
        <v>Met</v>
      </c>
      <c r="N91">
        <f t="shared" si="6"/>
        <v>1</v>
      </c>
      <c r="O91" t="str">
        <f t="shared" si="7"/>
        <v>Low</v>
      </c>
    </row>
    <row r="92" spans="1:15" x14ac:dyDescent="0.2">
      <c r="A92" t="s">
        <v>131</v>
      </c>
      <c r="B92" s="1">
        <v>46128</v>
      </c>
      <c r="C92" t="s">
        <v>24</v>
      </c>
      <c r="D92" t="s">
        <v>54</v>
      </c>
      <c r="E92" t="s">
        <v>14</v>
      </c>
      <c r="F92" t="s">
        <v>29</v>
      </c>
      <c r="G92" t="s">
        <v>16</v>
      </c>
      <c r="H92" s="1">
        <v>46129</v>
      </c>
      <c r="I92" s="1">
        <v>46128</v>
      </c>
      <c r="J92" t="s">
        <v>17</v>
      </c>
      <c r="K92">
        <v>24</v>
      </c>
      <c r="L92" s="2">
        <f t="shared" si="4"/>
        <v>-1</v>
      </c>
      <c r="M92" t="str">
        <f t="shared" si="5"/>
        <v>Met</v>
      </c>
      <c r="N92">
        <f t="shared" si="6"/>
        <v>1</v>
      </c>
      <c r="O92" t="str">
        <f t="shared" si="7"/>
        <v>Low</v>
      </c>
    </row>
    <row r="93" spans="1:15" x14ac:dyDescent="0.2">
      <c r="A93" t="s">
        <v>132</v>
      </c>
      <c r="B93" s="1">
        <v>46128</v>
      </c>
      <c r="C93" t="s">
        <v>48</v>
      </c>
      <c r="D93" t="s">
        <v>25</v>
      </c>
      <c r="E93" t="s">
        <v>26</v>
      </c>
      <c r="F93" t="s">
        <v>29</v>
      </c>
      <c r="G93" t="s">
        <v>16</v>
      </c>
      <c r="H93" s="1">
        <v>46129</v>
      </c>
      <c r="I93" s="1">
        <v>46129</v>
      </c>
      <c r="J93" t="s">
        <v>17</v>
      </c>
      <c r="K93">
        <v>28</v>
      </c>
      <c r="L93" s="2">
        <f t="shared" si="4"/>
        <v>0</v>
      </c>
      <c r="M93" t="str">
        <f t="shared" si="5"/>
        <v>Met</v>
      </c>
      <c r="N93">
        <f t="shared" si="6"/>
        <v>1</v>
      </c>
      <c r="O93" t="str">
        <f t="shared" si="7"/>
        <v>Low</v>
      </c>
    </row>
    <row r="94" spans="1:15" x14ac:dyDescent="0.2">
      <c r="A94" t="s">
        <v>133</v>
      </c>
      <c r="B94" s="1">
        <v>46129</v>
      </c>
      <c r="C94" t="s">
        <v>12</v>
      </c>
      <c r="D94" t="s">
        <v>67</v>
      </c>
      <c r="E94" t="s">
        <v>14</v>
      </c>
      <c r="F94" t="s">
        <v>31</v>
      </c>
      <c r="G94" t="s">
        <v>16</v>
      </c>
      <c r="H94" s="1">
        <v>46130</v>
      </c>
      <c r="I94" s="1">
        <v>46130</v>
      </c>
      <c r="J94" t="s">
        <v>17</v>
      </c>
      <c r="K94">
        <v>10</v>
      </c>
      <c r="L94" s="2">
        <f t="shared" si="4"/>
        <v>0</v>
      </c>
      <c r="M94" t="str">
        <f t="shared" si="5"/>
        <v>Met</v>
      </c>
      <c r="N94">
        <f t="shared" si="6"/>
        <v>1</v>
      </c>
      <c r="O94" t="str">
        <f t="shared" si="7"/>
        <v>Low</v>
      </c>
    </row>
    <row r="95" spans="1:15" x14ac:dyDescent="0.2">
      <c r="A95" t="s">
        <v>134</v>
      </c>
      <c r="B95" s="1">
        <v>46129</v>
      </c>
      <c r="C95" t="s">
        <v>33</v>
      </c>
      <c r="D95" t="s">
        <v>34</v>
      </c>
      <c r="E95" t="s">
        <v>14</v>
      </c>
      <c r="F95" t="s">
        <v>21</v>
      </c>
      <c r="G95" t="s">
        <v>22</v>
      </c>
      <c r="H95" s="1">
        <v>46131</v>
      </c>
      <c r="I95" s="1">
        <v>46131</v>
      </c>
      <c r="J95" t="s">
        <v>17</v>
      </c>
      <c r="K95">
        <v>12</v>
      </c>
      <c r="L95" s="2">
        <f t="shared" si="4"/>
        <v>0</v>
      </c>
      <c r="M95" t="str">
        <f t="shared" si="5"/>
        <v>Met</v>
      </c>
      <c r="N95">
        <f t="shared" si="6"/>
        <v>1</v>
      </c>
      <c r="O95" t="str">
        <f t="shared" si="7"/>
        <v>Low</v>
      </c>
    </row>
    <row r="96" spans="1:15" x14ac:dyDescent="0.2">
      <c r="A96" t="s">
        <v>135</v>
      </c>
      <c r="B96" s="1">
        <v>46129</v>
      </c>
      <c r="C96" t="s">
        <v>37</v>
      </c>
      <c r="D96" t="s">
        <v>49</v>
      </c>
      <c r="E96" t="s">
        <v>26</v>
      </c>
      <c r="F96" t="s">
        <v>35</v>
      </c>
      <c r="G96" t="s">
        <v>14</v>
      </c>
      <c r="H96" s="1">
        <v>46132</v>
      </c>
      <c r="I96" s="1">
        <v>46132</v>
      </c>
      <c r="J96" t="s">
        <v>17</v>
      </c>
      <c r="K96">
        <v>18</v>
      </c>
      <c r="L96" s="2">
        <f t="shared" si="4"/>
        <v>0</v>
      </c>
      <c r="M96" t="str">
        <f t="shared" si="5"/>
        <v>Met</v>
      </c>
      <c r="N96">
        <f t="shared" si="6"/>
        <v>1</v>
      </c>
      <c r="O96" t="str">
        <f t="shared" si="7"/>
        <v>Low</v>
      </c>
    </row>
    <row r="97" spans="1:15" x14ac:dyDescent="0.2">
      <c r="A97" t="s">
        <v>136</v>
      </c>
      <c r="B97" s="1">
        <v>46129</v>
      </c>
      <c r="C97" t="s">
        <v>37</v>
      </c>
      <c r="D97" t="s">
        <v>20</v>
      </c>
      <c r="E97" t="s">
        <v>14</v>
      </c>
      <c r="F97" t="s">
        <v>21</v>
      </c>
      <c r="G97" t="s">
        <v>22</v>
      </c>
      <c r="H97" s="1">
        <v>46131</v>
      </c>
      <c r="I97" s="1">
        <v>46133</v>
      </c>
      <c r="J97" t="s">
        <v>42</v>
      </c>
      <c r="K97">
        <v>12</v>
      </c>
      <c r="L97" s="2">
        <f t="shared" si="4"/>
        <v>2</v>
      </c>
      <c r="M97" t="str">
        <f t="shared" si="5"/>
        <v>Breached</v>
      </c>
      <c r="N97">
        <f t="shared" si="6"/>
        <v>0</v>
      </c>
      <c r="O97" t="str">
        <f t="shared" si="7"/>
        <v>Medium</v>
      </c>
    </row>
    <row r="98" spans="1:15" x14ac:dyDescent="0.2">
      <c r="A98" t="s">
        <v>137</v>
      </c>
      <c r="B98" s="1">
        <v>46129</v>
      </c>
      <c r="C98" t="s">
        <v>33</v>
      </c>
      <c r="D98" t="s">
        <v>54</v>
      </c>
      <c r="E98" t="s">
        <v>14</v>
      </c>
      <c r="F98" t="s">
        <v>21</v>
      </c>
      <c r="G98" t="s">
        <v>22</v>
      </c>
      <c r="H98" s="1">
        <v>46131</v>
      </c>
      <c r="I98" s="1">
        <v>46131</v>
      </c>
      <c r="J98" t="s">
        <v>17</v>
      </c>
      <c r="K98">
        <v>7</v>
      </c>
      <c r="L98" s="2">
        <f t="shared" si="4"/>
        <v>0</v>
      </c>
      <c r="M98" t="str">
        <f t="shared" si="5"/>
        <v>Met</v>
      </c>
      <c r="N98">
        <f t="shared" si="6"/>
        <v>1</v>
      </c>
      <c r="O98" t="str">
        <f t="shared" si="7"/>
        <v>Low</v>
      </c>
    </row>
    <row r="99" spans="1:15" x14ac:dyDescent="0.2">
      <c r="A99" t="s">
        <v>138</v>
      </c>
      <c r="B99" s="1">
        <v>46129</v>
      </c>
      <c r="C99" t="s">
        <v>33</v>
      </c>
      <c r="D99" t="s">
        <v>44</v>
      </c>
      <c r="E99" t="s">
        <v>26</v>
      </c>
      <c r="F99" t="s">
        <v>35</v>
      </c>
      <c r="G99" t="s">
        <v>14</v>
      </c>
      <c r="H99" s="1">
        <v>46132</v>
      </c>
      <c r="I99" s="1">
        <v>46132</v>
      </c>
      <c r="J99" t="s">
        <v>17</v>
      </c>
      <c r="K99">
        <v>29</v>
      </c>
      <c r="L99" s="2">
        <f t="shared" si="4"/>
        <v>0</v>
      </c>
      <c r="M99" t="str">
        <f t="shared" si="5"/>
        <v>Met</v>
      </c>
      <c r="N99">
        <f t="shared" si="6"/>
        <v>1</v>
      </c>
      <c r="O99" t="str">
        <f t="shared" si="7"/>
        <v>Low</v>
      </c>
    </row>
    <row r="100" spans="1:15" x14ac:dyDescent="0.2">
      <c r="A100" t="s">
        <v>139</v>
      </c>
      <c r="B100" s="1">
        <v>46129</v>
      </c>
      <c r="C100" t="s">
        <v>24</v>
      </c>
      <c r="D100" t="s">
        <v>41</v>
      </c>
      <c r="E100" t="s">
        <v>14</v>
      </c>
      <c r="F100" t="s">
        <v>31</v>
      </c>
      <c r="G100" t="s">
        <v>22</v>
      </c>
      <c r="H100" s="1">
        <v>46131</v>
      </c>
      <c r="I100" s="1">
        <v>46131</v>
      </c>
      <c r="J100" t="s">
        <v>17</v>
      </c>
      <c r="K100">
        <v>36</v>
      </c>
      <c r="L100" s="2">
        <f t="shared" si="4"/>
        <v>0</v>
      </c>
      <c r="M100" t="str">
        <f t="shared" si="5"/>
        <v>Met</v>
      </c>
      <c r="N100">
        <f t="shared" si="6"/>
        <v>1</v>
      </c>
      <c r="O100" t="str">
        <f t="shared" si="7"/>
        <v>Low</v>
      </c>
    </row>
    <row r="101" spans="1:15" x14ac:dyDescent="0.2">
      <c r="A101" t="s">
        <v>140</v>
      </c>
      <c r="B101" s="1">
        <v>46130</v>
      </c>
      <c r="C101" t="s">
        <v>24</v>
      </c>
      <c r="D101" t="s">
        <v>41</v>
      </c>
      <c r="E101" t="s">
        <v>14</v>
      </c>
      <c r="F101" t="s">
        <v>29</v>
      </c>
      <c r="G101" t="s">
        <v>14</v>
      </c>
      <c r="H101" s="1">
        <v>46133</v>
      </c>
      <c r="I101" s="1">
        <v>46135</v>
      </c>
      <c r="J101" t="s">
        <v>42</v>
      </c>
      <c r="K101">
        <v>19</v>
      </c>
      <c r="L101" s="2">
        <f t="shared" si="4"/>
        <v>2</v>
      </c>
      <c r="M101" t="str">
        <f t="shared" si="5"/>
        <v>Breached</v>
      </c>
      <c r="N101">
        <f t="shared" si="6"/>
        <v>0</v>
      </c>
      <c r="O101" t="str">
        <f t="shared" si="7"/>
        <v>Medium</v>
      </c>
    </row>
    <row r="102" spans="1:15" x14ac:dyDescent="0.2">
      <c r="A102" t="s">
        <v>141</v>
      </c>
      <c r="B102" s="1">
        <v>46130</v>
      </c>
      <c r="C102" t="s">
        <v>19</v>
      </c>
      <c r="D102" t="s">
        <v>28</v>
      </c>
      <c r="E102" t="s">
        <v>26</v>
      </c>
      <c r="F102" t="s">
        <v>29</v>
      </c>
      <c r="G102" t="s">
        <v>22</v>
      </c>
      <c r="H102" s="1">
        <v>46132</v>
      </c>
      <c r="I102" s="1">
        <v>46131</v>
      </c>
      <c r="J102" t="s">
        <v>17</v>
      </c>
      <c r="K102">
        <v>3</v>
      </c>
      <c r="L102" s="2">
        <f t="shared" si="4"/>
        <v>-1</v>
      </c>
      <c r="M102" t="str">
        <f t="shared" si="5"/>
        <v>Met</v>
      </c>
      <c r="N102">
        <f t="shared" si="6"/>
        <v>1</v>
      </c>
      <c r="O102" t="str">
        <f t="shared" si="7"/>
        <v>Low</v>
      </c>
    </row>
    <row r="103" spans="1:15" x14ac:dyDescent="0.2">
      <c r="A103" t="s">
        <v>142</v>
      </c>
      <c r="B103" s="1">
        <v>46130</v>
      </c>
      <c r="C103" t="s">
        <v>48</v>
      </c>
      <c r="D103" t="s">
        <v>28</v>
      </c>
      <c r="E103" t="s">
        <v>26</v>
      </c>
      <c r="F103" t="s">
        <v>15</v>
      </c>
      <c r="G103" t="s">
        <v>16</v>
      </c>
      <c r="H103" s="1">
        <v>46131</v>
      </c>
      <c r="I103" s="1">
        <v>46131</v>
      </c>
      <c r="J103" t="s">
        <v>17</v>
      </c>
      <c r="K103">
        <v>5</v>
      </c>
      <c r="L103" s="2">
        <f t="shared" si="4"/>
        <v>0</v>
      </c>
      <c r="M103" t="str">
        <f t="shared" si="5"/>
        <v>Met</v>
      </c>
      <c r="N103">
        <f t="shared" si="6"/>
        <v>1</v>
      </c>
      <c r="O103" t="str">
        <f t="shared" si="7"/>
        <v>Low</v>
      </c>
    </row>
    <row r="104" spans="1:15" x14ac:dyDescent="0.2">
      <c r="A104" t="s">
        <v>143</v>
      </c>
      <c r="B104" s="1">
        <v>46130</v>
      </c>
      <c r="C104" t="s">
        <v>37</v>
      </c>
      <c r="D104" t="s">
        <v>34</v>
      </c>
      <c r="E104" t="s">
        <v>14</v>
      </c>
      <c r="F104" t="s">
        <v>31</v>
      </c>
      <c r="G104" t="s">
        <v>14</v>
      </c>
      <c r="H104" s="1">
        <v>46133</v>
      </c>
      <c r="I104" s="1">
        <v>46132</v>
      </c>
      <c r="J104" t="s">
        <v>17</v>
      </c>
      <c r="K104">
        <v>1</v>
      </c>
      <c r="L104" s="2">
        <f t="shared" si="4"/>
        <v>-1</v>
      </c>
      <c r="M104" t="str">
        <f t="shared" si="5"/>
        <v>Met</v>
      </c>
      <c r="N104">
        <f t="shared" si="6"/>
        <v>1</v>
      </c>
      <c r="O104" t="str">
        <f t="shared" si="7"/>
        <v>Low</v>
      </c>
    </row>
    <row r="105" spans="1:15" x14ac:dyDescent="0.2">
      <c r="A105" t="s">
        <v>144</v>
      </c>
      <c r="B105" s="1">
        <v>46130</v>
      </c>
      <c r="C105" t="s">
        <v>33</v>
      </c>
      <c r="D105" t="s">
        <v>13</v>
      </c>
      <c r="E105" t="s">
        <v>14</v>
      </c>
      <c r="F105" t="s">
        <v>31</v>
      </c>
      <c r="G105" t="s">
        <v>16</v>
      </c>
      <c r="H105" s="1">
        <v>46131</v>
      </c>
      <c r="I105" s="1">
        <v>46131</v>
      </c>
      <c r="J105" t="s">
        <v>17</v>
      </c>
      <c r="K105">
        <v>36</v>
      </c>
      <c r="L105" s="2">
        <f t="shared" si="4"/>
        <v>0</v>
      </c>
      <c r="M105" t="str">
        <f t="shared" si="5"/>
        <v>Met</v>
      </c>
      <c r="N105">
        <f t="shared" si="6"/>
        <v>1</v>
      </c>
      <c r="O105" t="str">
        <f t="shared" si="7"/>
        <v>Low</v>
      </c>
    </row>
    <row r="106" spans="1:15" x14ac:dyDescent="0.2">
      <c r="A106" t="s">
        <v>145</v>
      </c>
      <c r="B106" s="1">
        <v>46130</v>
      </c>
      <c r="C106" t="s">
        <v>12</v>
      </c>
      <c r="D106" t="s">
        <v>54</v>
      </c>
      <c r="E106" t="s">
        <v>14</v>
      </c>
      <c r="F106" t="s">
        <v>15</v>
      </c>
      <c r="G106" t="s">
        <v>14</v>
      </c>
      <c r="H106" s="1">
        <v>46133</v>
      </c>
      <c r="I106" s="1">
        <v>46133</v>
      </c>
      <c r="J106" t="s">
        <v>17</v>
      </c>
      <c r="K106">
        <v>37</v>
      </c>
      <c r="L106" s="2">
        <f t="shared" si="4"/>
        <v>0</v>
      </c>
      <c r="M106" t="str">
        <f t="shared" si="5"/>
        <v>Met</v>
      </c>
      <c r="N106">
        <f t="shared" si="6"/>
        <v>1</v>
      </c>
      <c r="O106" t="str">
        <f t="shared" si="7"/>
        <v>Low</v>
      </c>
    </row>
    <row r="107" spans="1:15" x14ac:dyDescent="0.2">
      <c r="A107" t="s">
        <v>146</v>
      </c>
      <c r="B107" s="1">
        <v>46130</v>
      </c>
      <c r="C107" t="s">
        <v>19</v>
      </c>
      <c r="D107" t="s">
        <v>25</v>
      </c>
      <c r="E107" t="s">
        <v>26</v>
      </c>
      <c r="F107" t="s">
        <v>35</v>
      </c>
      <c r="G107" t="s">
        <v>16</v>
      </c>
      <c r="H107" s="1">
        <v>46131</v>
      </c>
      <c r="I107" s="1">
        <v>46131</v>
      </c>
      <c r="J107" t="s">
        <v>17</v>
      </c>
      <c r="K107">
        <v>40</v>
      </c>
      <c r="L107" s="2">
        <f t="shared" si="4"/>
        <v>0</v>
      </c>
      <c r="M107" t="str">
        <f t="shared" si="5"/>
        <v>Met</v>
      </c>
      <c r="N107">
        <f t="shared" si="6"/>
        <v>1</v>
      </c>
      <c r="O107" t="str">
        <f t="shared" si="7"/>
        <v>Low</v>
      </c>
    </row>
    <row r="108" spans="1:15" x14ac:dyDescent="0.2">
      <c r="A108" t="s">
        <v>147</v>
      </c>
      <c r="B108" s="1">
        <v>46130</v>
      </c>
      <c r="C108" t="s">
        <v>37</v>
      </c>
      <c r="D108" t="s">
        <v>67</v>
      </c>
      <c r="E108" t="s">
        <v>14</v>
      </c>
      <c r="F108" t="s">
        <v>75</v>
      </c>
      <c r="G108" t="s">
        <v>22</v>
      </c>
      <c r="H108" s="1">
        <v>46132</v>
      </c>
      <c r="I108" s="1">
        <v>46132</v>
      </c>
      <c r="J108" t="s">
        <v>17</v>
      </c>
      <c r="K108">
        <v>22</v>
      </c>
      <c r="L108" s="2">
        <f t="shared" si="4"/>
        <v>0</v>
      </c>
      <c r="M108" t="str">
        <f t="shared" si="5"/>
        <v>Met</v>
      </c>
      <c r="N108">
        <f t="shared" si="6"/>
        <v>1</v>
      </c>
      <c r="O108" t="str">
        <f t="shared" si="7"/>
        <v>Low</v>
      </c>
    </row>
    <row r="109" spans="1:15" x14ac:dyDescent="0.2">
      <c r="A109" t="s">
        <v>148</v>
      </c>
      <c r="B109" s="1">
        <v>46130</v>
      </c>
      <c r="C109" t="s">
        <v>37</v>
      </c>
      <c r="D109" t="s">
        <v>13</v>
      </c>
      <c r="E109" t="s">
        <v>14</v>
      </c>
      <c r="F109" t="s">
        <v>35</v>
      </c>
      <c r="G109" t="s">
        <v>22</v>
      </c>
      <c r="H109" s="1">
        <v>46132</v>
      </c>
      <c r="I109" s="1">
        <v>46132</v>
      </c>
      <c r="J109" t="s">
        <v>17</v>
      </c>
      <c r="K109">
        <v>13</v>
      </c>
      <c r="L109" s="2">
        <f t="shared" si="4"/>
        <v>0</v>
      </c>
      <c r="M109" t="str">
        <f t="shared" si="5"/>
        <v>Met</v>
      </c>
      <c r="N109">
        <f t="shared" si="6"/>
        <v>1</v>
      </c>
      <c r="O109" t="str">
        <f t="shared" si="7"/>
        <v>Low</v>
      </c>
    </row>
    <row r="110" spans="1:15" x14ac:dyDescent="0.2">
      <c r="A110" t="s">
        <v>149</v>
      </c>
      <c r="B110" s="1">
        <v>46130</v>
      </c>
      <c r="C110" t="s">
        <v>33</v>
      </c>
      <c r="D110" t="s">
        <v>44</v>
      </c>
      <c r="E110" t="s">
        <v>26</v>
      </c>
      <c r="F110" t="s">
        <v>21</v>
      </c>
      <c r="G110" t="s">
        <v>14</v>
      </c>
      <c r="H110" s="1">
        <v>46133</v>
      </c>
      <c r="I110" s="1">
        <v>46133</v>
      </c>
      <c r="J110" t="s">
        <v>17</v>
      </c>
      <c r="K110">
        <v>8</v>
      </c>
      <c r="L110" s="2">
        <f t="shared" si="4"/>
        <v>0</v>
      </c>
      <c r="M110" t="str">
        <f t="shared" si="5"/>
        <v>Met</v>
      </c>
      <c r="N110">
        <f t="shared" si="6"/>
        <v>1</v>
      </c>
      <c r="O110" t="str">
        <f t="shared" si="7"/>
        <v>Low</v>
      </c>
    </row>
    <row r="111" spans="1:15" x14ac:dyDescent="0.2">
      <c r="A111" t="s">
        <v>150</v>
      </c>
      <c r="B111" s="1">
        <v>46131</v>
      </c>
      <c r="C111" t="s">
        <v>33</v>
      </c>
      <c r="D111" t="s">
        <v>54</v>
      </c>
      <c r="E111" t="s">
        <v>14</v>
      </c>
      <c r="F111" t="s">
        <v>35</v>
      </c>
      <c r="G111" t="s">
        <v>14</v>
      </c>
      <c r="H111" s="1">
        <v>46134</v>
      </c>
      <c r="I111" s="1">
        <v>46134</v>
      </c>
      <c r="J111" t="s">
        <v>17</v>
      </c>
      <c r="K111">
        <v>10</v>
      </c>
      <c r="L111" s="2">
        <f t="shared" si="4"/>
        <v>0</v>
      </c>
      <c r="M111" t="str">
        <f t="shared" si="5"/>
        <v>Met</v>
      </c>
      <c r="N111">
        <f t="shared" si="6"/>
        <v>1</v>
      </c>
      <c r="O111" t="str">
        <f t="shared" si="7"/>
        <v>Low</v>
      </c>
    </row>
    <row r="112" spans="1:15" x14ac:dyDescent="0.2">
      <c r="A112" t="s">
        <v>151</v>
      </c>
      <c r="B112" s="1">
        <v>46131</v>
      </c>
      <c r="C112" t="s">
        <v>12</v>
      </c>
      <c r="D112" t="s">
        <v>13</v>
      </c>
      <c r="E112" t="s">
        <v>14</v>
      </c>
      <c r="F112" t="s">
        <v>31</v>
      </c>
      <c r="G112" t="s">
        <v>22</v>
      </c>
      <c r="H112" s="1">
        <v>46133</v>
      </c>
      <c r="I112" s="1">
        <v>46133</v>
      </c>
      <c r="J112" t="s">
        <v>17</v>
      </c>
      <c r="K112">
        <v>26</v>
      </c>
      <c r="L112" s="2">
        <f t="shared" si="4"/>
        <v>0</v>
      </c>
      <c r="M112" t="str">
        <f t="shared" si="5"/>
        <v>Met</v>
      </c>
      <c r="N112">
        <f t="shared" si="6"/>
        <v>1</v>
      </c>
      <c r="O112" t="str">
        <f t="shared" si="7"/>
        <v>Low</v>
      </c>
    </row>
    <row r="113" spans="1:15" x14ac:dyDescent="0.2">
      <c r="A113" t="s">
        <v>152</v>
      </c>
      <c r="B113" s="1">
        <v>46131</v>
      </c>
      <c r="C113" t="s">
        <v>37</v>
      </c>
      <c r="D113" t="s">
        <v>44</v>
      </c>
      <c r="E113" t="s">
        <v>26</v>
      </c>
      <c r="F113" t="s">
        <v>21</v>
      </c>
      <c r="G113" t="s">
        <v>22</v>
      </c>
      <c r="H113" s="1">
        <v>46133</v>
      </c>
      <c r="I113" s="1">
        <v>46133</v>
      </c>
      <c r="J113" t="s">
        <v>17</v>
      </c>
      <c r="K113">
        <v>23</v>
      </c>
      <c r="L113" s="2">
        <f t="shared" si="4"/>
        <v>0</v>
      </c>
      <c r="M113" t="str">
        <f t="shared" si="5"/>
        <v>Met</v>
      </c>
      <c r="N113">
        <f t="shared" si="6"/>
        <v>1</v>
      </c>
      <c r="O113" t="str">
        <f t="shared" si="7"/>
        <v>Low</v>
      </c>
    </row>
    <row r="114" spans="1:15" x14ac:dyDescent="0.2">
      <c r="A114" t="s">
        <v>153</v>
      </c>
      <c r="B114" s="1">
        <v>46131</v>
      </c>
      <c r="C114" t="s">
        <v>24</v>
      </c>
      <c r="D114" t="s">
        <v>44</v>
      </c>
      <c r="E114" t="s">
        <v>26</v>
      </c>
      <c r="F114" t="s">
        <v>35</v>
      </c>
      <c r="G114" t="s">
        <v>22</v>
      </c>
      <c r="H114" s="1">
        <v>46133</v>
      </c>
      <c r="I114" s="1">
        <v>46133</v>
      </c>
      <c r="J114" t="s">
        <v>17</v>
      </c>
      <c r="K114">
        <v>30</v>
      </c>
      <c r="L114" s="2">
        <f t="shared" si="4"/>
        <v>0</v>
      </c>
      <c r="M114" t="str">
        <f t="shared" si="5"/>
        <v>Met</v>
      </c>
      <c r="N114">
        <f t="shared" si="6"/>
        <v>1</v>
      </c>
      <c r="O114" t="str">
        <f t="shared" si="7"/>
        <v>Low</v>
      </c>
    </row>
    <row r="115" spans="1:15" x14ac:dyDescent="0.2">
      <c r="A115" t="s">
        <v>154</v>
      </c>
      <c r="B115" s="1">
        <v>46131</v>
      </c>
      <c r="C115" t="s">
        <v>37</v>
      </c>
      <c r="D115" t="s">
        <v>44</v>
      </c>
      <c r="E115" t="s">
        <v>26</v>
      </c>
      <c r="F115" t="s">
        <v>15</v>
      </c>
      <c r="G115" t="s">
        <v>16</v>
      </c>
      <c r="H115" s="1">
        <v>46132</v>
      </c>
      <c r="I115" s="1">
        <v>46131</v>
      </c>
      <c r="J115" t="s">
        <v>17</v>
      </c>
      <c r="K115">
        <v>36</v>
      </c>
      <c r="L115" s="2">
        <f t="shared" si="4"/>
        <v>-1</v>
      </c>
      <c r="M115" t="str">
        <f t="shared" si="5"/>
        <v>Met</v>
      </c>
      <c r="N115">
        <f t="shared" si="6"/>
        <v>1</v>
      </c>
      <c r="O115" t="str">
        <f t="shared" si="7"/>
        <v>Low</v>
      </c>
    </row>
    <row r="116" spans="1:15" x14ac:dyDescent="0.2">
      <c r="A116" t="s">
        <v>155</v>
      </c>
      <c r="B116" s="1">
        <v>46131</v>
      </c>
      <c r="C116" t="s">
        <v>33</v>
      </c>
      <c r="D116" t="s">
        <v>46</v>
      </c>
      <c r="E116" t="s">
        <v>14</v>
      </c>
      <c r="F116" t="s">
        <v>15</v>
      </c>
      <c r="G116" t="s">
        <v>22</v>
      </c>
      <c r="H116" s="1">
        <v>46133</v>
      </c>
      <c r="I116" s="1">
        <v>46135</v>
      </c>
      <c r="J116" t="s">
        <v>42</v>
      </c>
      <c r="K116">
        <v>27</v>
      </c>
      <c r="L116" s="2">
        <f t="shared" si="4"/>
        <v>2</v>
      </c>
      <c r="M116" t="str">
        <f t="shared" si="5"/>
        <v>Breached</v>
      </c>
      <c r="N116">
        <f t="shared" si="6"/>
        <v>0</v>
      </c>
      <c r="O116" t="str">
        <f t="shared" si="7"/>
        <v>Medium</v>
      </c>
    </row>
    <row r="117" spans="1:15" x14ac:dyDescent="0.2">
      <c r="A117" t="s">
        <v>156</v>
      </c>
      <c r="B117" s="1">
        <v>46131</v>
      </c>
      <c r="C117" t="s">
        <v>33</v>
      </c>
      <c r="D117" t="s">
        <v>25</v>
      </c>
      <c r="E117" t="s">
        <v>26</v>
      </c>
      <c r="F117" t="s">
        <v>21</v>
      </c>
      <c r="G117" t="s">
        <v>22</v>
      </c>
      <c r="H117" s="1">
        <v>46133</v>
      </c>
      <c r="I117" s="1">
        <v>46133</v>
      </c>
      <c r="J117" t="s">
        <v>17</v>
      </c>
      <c r="K117">
        <v>9</v>
      </c>
      <c r="L117" s="2">
        <f t="shared" si="4"/>
        <v>0</v>
      </c>
      <c r="M117" t="str">
        <f t="shared" si="5"/>
        <v>Met</v>
      </c>
      <c r="N117">
        <f t="shared" si="6"/>
        <v>1</v>
      </c>
      <c r="O117" t="str">
        <f t="shared" si="7"/>
        <v>Low</v>
      </c>
    </row>
    <row r="118" spans="1:15" x14ac:dyDescent="0.2">
      <c r="A118" t="s">
        <v>157</v>
      </c>
      <c r="B118" s="1">
        <v>46132</v>
      </c>
      <c r="C118" t="s">
        <v>48</v>
      </c>
      <c r="D118" t="s">
        <v>67</v>
      </c>
      <c r="E118" t="s">
        <v>14</v>
      </c>
      <c r="F118" t="s">
        <v>75</v>
      </c>
      <c r="G118" t="s">
        <v>14</v>
      </c>
      <c r="H118" s="1">
        <v>46135</v>
      </c>
      <c r="I118" s="1">
        <v>46134</v>
      </c>
      <c r="J118" t="s">
        <v>17</v>
      </c>
      <c r="K118">
        <v>24</v>
      </c>
      <c r="L118" s="2">
        <f t="shared" si="4"/>
        <v>-1</v>
      </c>
      <c r="M118" t="str">
        <f t="shared" si="5"/>
        <v>Met</v>
      </c>
      <c r="N118">
        <f t="shared" si="6"/>
        <v>1</v>
      </c>
      <c r="O118" t="str">
        <f t="shared" si="7"/>
        <v>Low</v>
      </c>
    </row>
    <row r="119" spans="1:15" x14ac:dyDescent="0.2">
      <c r="A119" t="s">
        <v>158</v>
      </c>
      <c r="B119" s="1">
        <v>46132</v>
      </c>
      <c r="C119" t="s">
        <v>33</v>
      </c>
      <c r="D119" t="s">
        <v>34</v>
      </c>
      <c r="E119" t="s">
        <v>14</v>
      </c>
      <c r="F119" t="s">
        <v>75</v>
      </c>
      <c r="G119" t="s">
        <v>22</v>
      </c>
      <c r="H119" s="1">
        <v>46134</v>
      </c>
      <c r="I119" s="1">
        <v>46134</v>
      </c>
      <c r="J119" t="s">
        <v>17</v>
      </c>
      <c r="K119">
        <v>33</v>
      </c>
      <c r="L119" s="2">
        <f t="shared" si="4"/>
        <v>0</v>
      </c>
      <c r="M119" t="str">
        <f t="shared" si="5"/>
        <v>Met</v>
      </c>
      <c r="N119">
        <f t="shared" si="6"/>
        <v>1</v>
      </c>
      <c r="O119" t="str">
        <f t="shared" si="7"/>
        <v>Low</v>
      </c>
    </row>
    <row r="120" spans="1:15" x14ac:dyDescent="0.2">
      <c r="A120" t="s">
        <v>159</v>
      </c>
      <c r="B120" s="1">
        <v>46132</v>
      </c>
      <c r="C120" t="s">
        <v>37</v>
      </c>
      <c r="D120" t="s">
        <v>46</v>
      </c>
      <c r="E120" t="s">
        <v>14</v>
      </c>
      <c r="F120" t="s">
        <v>29</v>
      </c>
      <c r="G120" t="s">
        <v>22</v>
      </c>
      <c r="H120" s="1">
        <v>46134</v>
      </c>
      <c r="I120" s="1">
        <v>46134</v>
      </c>
      <c r="J120" t="s">
        <v>17</v>
      </c>
      <c r="K120">
        <v>32</v>
      </c>
      <c r="L120" s="2">
        <f t="shared" si="4"/>
        <v>0</v>
      </c>
      <c r="M120" t="str">
        <f t="shared" si="5"/>
        <v>Met</v>
      </c>
      <c r="N120">
        <f t="shared" si="6"/>
        <v>1</v>
      </c>
      <c r="O120" t="str">
        <f t="shared" si="7"/>
        <v>Low</v>
      </c>
    </row>
    <row r="121" spans="1:15" x14ac:dyDescent="0.2">
      <c r="A121" t="s">
        <v>160</v>
      </c>
      <c r="B121" s="1">
        <v>46132</v>
      </c>
      <c r="C121" t="s">
        <v>24</v>
      </c>
      <c r="D121" t="s">
        <v>67</v>
      </c>
      <c r="E121" t="s">
        <v>14</v>
      </c>
      <c r="F121" t="s">
        <v>21</v>
      </c>
      <c r="G121" t="s">
        <v>16</v>
      </c>
      <c r="H121" s="1">
        <v>46133</v>
      </c>
      <c r="I121" s="1">
        <v>46133</v>
      </c>
      <c r="J121" t="s">
        <v>17</v>
      </c>
      <c r="K121">
        <v>7</v>
      </c>
      <c r="L121" s="2">
        <f t="shared" si="4"/>
        <v>0</v>
      </c>
      <c r="M121" t="str">
        <f t="shared" si="5"/>
        <v>Met</v>
      </c>
      <c r="N121">
        <f t="shared" si="6"/>
        <v>1</v>
      </c>
      <c r="O121" t="str">
        <f t="shared" si="7"/>
        <v>Low</v>
      </c>
    </row>
    <row r="122" spans="1:15" x14ac:dyDescent="0.2">
      <c r="A122" t="s">
        <v>161</v>
      </c>
      <c r="B122" s="1">
        <v>46133</v>
      </c>
      <c r="C122" t="s">
        <v>19</v>
      </c>
      <c r="D122" t="s">
        <v>20</v>
      </c>
      <c r="E122" t="s">
        <v>14</v>
      </c>
      <c r="F122" t="s">
        <v>15</v>
      </c>
      <c r="G122" t="s">
        <v>14</v>
      </c>
      <c r="H122" s="1">
        <v>46136</v>
      </c>
      <c r="I122" s="1">
        <v>46136</v>
      </c>
      <c r="J122" t="s">
        <v>17</v>
      </c>
      <c r="K122">
        <v>27</v>
      </c>
      <c r="L122" s="2">
        <f t="shared" si="4"/>
        <v>0</v>
      </c>
      <c r="M122" t="str">
        <f t="shared" si="5"/>
        <v>Met</v>
      </c>
      <c r="N122">
        <f t="shared" si="6"/>
        <v>1</v>
      </c>
      <c r="O122" t="str">
        <f t="shared" si="7"/>
        <v>Low</v>
      </c>
    </row>
    <row r="123" spans="1:15" x14ac:dyDescent="0.2">
      <c r="A123" t="s">
        <v>162</v>
      </c>
      <c r="B123" s="1">
        <v>46133</v>
      </c>
      <c r="C123" t="s">
        <v>12</v>
      </c>
      <c r="D123" t="s">
        <v>13</v>
      </c>
      <c r="E123" t="s">
        <v>14</v>
      </c>
      <c r="F123" t="s">
        <v>75</v>
      </c>
      <c r="G123" t="s">
        <v>16</v>
      </c>
      <c r="H123" s="1">
        <v>46134</v>
      </c>
      <c r="I123" s="1">
        <v>46134</v>
      </c>
      <c r="J123" t="s">
        <v>17</v>
      </c>
      <c r="K123">
        <v>20</v>
      </c>
      <c r="L123" s="2">
        <f t="shared" si="4"/>
        <v>0</v>
      </c>
      <c r="M123" t="str">
        <f t="shared" si="5"/>
        <v>Met</v>
      </c>
      <c r="N123">
        <f t="shared" si="6"/>
        <v>1</v>
      </c>
      <c r="O123" t="str">
        <f t="shared" si="7"/>
        <v>Low</v>
      </c>
    </row>
    <row r="124" spans="1:15" x14ac:dyDescent="0.2">
      <c r="A124" t="s">
        <v>163</v>
      </c>
      <c r="B124" s="1">
        <v>46133</v>
      </c>
      <c r="C124" t="s">
        <v>24</v>
      </c>
      <c r="D124" t="s">
        <v>25</v>
      </c>
      <c r="E124" t="s">
        <v>26</v>
      </c>
      <c r="F124" t="s">
        <v>31</v>
      </c>
      <c r="G124" t="s">
        <v>22</v>
      </c>
      <c r="H124" s="1">
        <v>46135</v>
      </c>
      <c r="I124" s="1">
        <v>46134</v>
      </c>
      <c r="J124" t="s">
        <v>17</v>
      </c>
      <c r="K124">
        <v>31</v>
      </c>
      <c r="L124" s="2">
        <f t="shared" si="4"/>
        <v>-1</v>
      </c>
      <c r="M124" t="str">
        <f t="shared" si="5"/>
        <v>Met</v>
      </c>
      <c r="N124">
        <f t="shared" si="6"/>
        <v>1</v>
      </c>
      <c r="O124" t="str">
        <f t="shared" si="7"/>
        <v>Low</v>
      </c>
    </row>
    <row r="125" spans="1:15" x14ac:dyDescent="0.2">
      <c r="A125" t="s">
        <v>164</v>
      </c>
      <c r="B125" s="1">
        <v>46134</v>
      </c>
      <c r="C125" t="s">
        <v>19</v>
      </c>
      <c r="D125" t="s">
        <v>39</v>
      </c>
      <c r="E125" t="s">
        <v>26</v>
      </c>
      <c r="F125" t="s">
        <v>75</v>
      </c>
      <c r="G125" t="s">
        <v>22</v>
      </c>
      <c r="H125" s="1">
        <v>46136</v>
      </c>
      <c r="I125" s="1">
        <v>46136</v>
      </c>
      <c r="J125" t="s">
        <v>17</v>
      </c>
      <c r="K125">
        <v>11</v>
      </c>
      <c r="L125" s="2">
        <f t="shared" si="4"/>
        <v>0</v>
      </c>
      <c r="M125" t="str">
        <f t="shared" si="5"/>
        <v>Met</v>
      </c>
      <c r="N125">
        <f t="shared" si="6"/>
        <v>1</v>
      </c>
      <c r="O125" t="str">
        <f t="shared" si="7"/>
        <v>Low</v>
      </c>
    </row>
    <row r="126" spans="1:15" x14ac:dyDescent="0.2">
      <c r="A126" t="s">
        <v>165</v>
      </c>
      <c r="B126" s="1">
        <v>46134</v>
      </c>
      <c r="C126" t="s">
        <v>48</v>
      </c>
      <c r="D126" t="s">
        <v>49</v>
      </c>
      <c r="E126" t="s">
        <v>26</v>
      </c>
      <c r="F126" t="s">
        <v>35</v>
      </c>
      <c r="G126" t="s">
        <v>22</v>
      </c>
      <c r="H126" s="1">
        <v>46136</v>
      </c>
      <c r="I126" s="1">
        <v>46136</v>
      </c>
      <c r="J126" t="s">
        <v>17</v>
      </c>
      <c r="K126">
        <v>7</v>
      </c>
      <c r="L126" s="2">
        <f t="shared" si="4"/>
        <v>0</v>
      </c>
      <c r="M126" t="str">
        <f t="shared" si="5"/>
        <v>Met</v>
      </c>
      <c r="N126">
        <f t="shared" si="6"/>
        <v>1</v>
      </c>
      <c r="O126" t="str">
        <f t="shared" si="7"/>
        <v>Low</v>
      </c>
    </row>
    <row r="127" spans="1:15" x14ac:dyDescent="0.2">
      <c r="A127" t="s">
        <v>166</v>
      </c>
      <c r="B127" s="1">
        <v>46134</v>
      </c>
      <c r="C127" t="s">
        <v>37</v>
      </c>
      <c r="D127" t="s">
        <v>49</v>
      </c>
      <c r="E127" t="s">
        <v>26</v>
      </c>
      <c r="F127" t="s">
        <v>29</v>
      </c>
      <c r="G127" t="s">
        <v>14</v>
      </c>
      <c r="H127" s="1">
        <v>46137</v>
      </c>
      <c r="I127" s="1">
        <v>46140</v>
      </c>
      <c r="J127" t="s">
        <v>42</v>
      </c>
      <c r="K127">
        <v>22</v>
      </c>
      <c r="L127" s="2">
        <f t="shared" si="4"/>
        <v>3</v>
      </c>
      <c r="M127" t="str">
        <f t="shared" si="5"/>
        <v>Breached</v>
      </c>
      <c r="N127">
        <f t="shared" si="6"/>
        <v>0</v>
      </c>
      <c r="O127" t="str">
        <f t="shared" si="7"/>
        <v>High</v>
      </c>
    </row>
    <row r="128" spans="1:15" x14ac:dyDescent="0.2">
      <c r="A128" t="s">
        <v>167</v>
      </c>
      <c r="B128" s="1">
        <v>46134</v>
      </c>
      <c r="C128" t="s">
        <v>24</v>
      </c>
      <c r="D128" t="s">
        <v>20</v>
      </c>
      <c r="E128" t="s">
        <v>14</v>
      </c>
      <c r="F128" t="s">
        <v>31</v>
      </c>
      <c r="G128" t="s">
        <v>16</v>
      </c>
      <c r="H128" s="1">
        <v>46135</v>
      </c>
      <c r="I128" s="1">
        <v>46134</v>
      </c>
      <c r="J128" t="s">
        <v>17</v>
      </c>
      <c r="K128">
        <v>3</v>
      </c>
      <c r="L128" s="2">
        <f t="shared" si="4"/>
        <v>-1</v>
      </c>
      <c r="M128" t="str">
        <f t="shared" si="5"/>
        <v>Met</v>
      </c>
      <c r="N128">
        <f t="shared" si="6"/>
        <v>1</v>
      </c>
      <c r="O128" t="str">
        <f t="shared" si="7"/>
        <v>Low</v>
      </c>
    </row>
    <row r="129" spans="1:15" x14ac:dyDescent="0.2">
      <c r="A129" t="s">
        <v>168</v>
      </c>
      <c r="B129" s="1">
        <v>46134</v>
      </c>
      <c r="C129" t="s">
        <v>37</v>
      </c>
      <c r="D129" t="s">
        <v>25</v>
      </c>
      <c r="E129" t="s">
        <v>26</v>
      </c>
      <c r="F129" t="s">
        <v>29</v>
      </c>
      <c r="G129" t="s">
        <v>16</v>
      </c>
      <c r="H129" s="1">
        <v>46135</v>
      </c>
      <c r="I129" s="1">
        <v>46137</v>
      </c>
      <c r="J129" t="s">
        <v>42</v>
      </c>
      <c r="K129">
        <v>35</v>
      </c>
      <c r="L129" s="2">
        <f t="shared" si="4"/>
        <v>2</v>
      </c>
      <c r="M129" t="str">
        <f t="shared" si="5"/>
        <v>Breached</v>
      </c>
      <c r="N129">
        <f t="shared" si="6"/>
        <v>0</v>
      </c>
      <c r="O129" t="str">
        <f t="shared" si="7"/>
        <v>High</v>
      </c>
    </row>
    <row r="130" spans="1:15" x14ac:dyDescent="0.2">
      <c r="A130" t="s">
        <v>169</v>
      </c>
      <c r="B130" s="1">
        <v>46134</v>
      </c>
      <c r="C130" t="s">
        <v>12</v>
      </c>
      <c r="D130" t="s">
        <v>34</v>
      </c>
      <c r="E130" t="s">
        <v>14</v>
      </c>
      <c r="F130" t="s">
        <v>29</v>
      </c>
      <c r="G130" t="s">
        <v>16</v>
      </c>
      <c r="H130" s="1">
        <v>46135</v>
      </c>
      <c r="I130" s="1">
        <v>46135</v>
      </c>
      <c r="J130" t="s">
        <v>17</v>
      </c>
      <c r="K130">
        <v>26</v>
      </c>
      <c r="L130" s="2">
        <f t="shared" ref="L130:L193" si="8">I130-H130</f>
        <v>0</v>
      </c>
      <c r="M130" t="str">
        <f t="shared" ref="M130:M193" si="9">IF(I130&lt;=H130, "Met", "Breached")</f>
        <v>Met</v>
      </c>
      <c r="N130">
        <f t="shared" ref="N130:N193" si="10">IF(M130="Met", 1,0)</f>
        <v>1</v>
      </c>
      <c r="O130" t="str">
        <f t="shared" ref="O130:O193" si="11">IF(AND(E130="VIP", M130="Breached"), "High", IF(M130="Breached","Medium", "Low"))</f>
        <v>Low</v>
      </c>
    </row>
    <row r="131" spans="1:15" x14ac:dyDescent="0.2">
      <c r="A131" t="s">
        <v>170</v>
      </c>
      <c r="B131" s="1">
        <v>46134</v>
      </c>
      <c r="C131" t="s">
        <v>19</v>
      </c>
      <c r="D131" t="s">
        <v>46</v>
      </c>
      <c r="E131" t="s">
        <v>14</v>
      </c>
      <c r="F131" t="s">
        <v>31</v>
      </c>
      <c r="G131" t="s">
        <v>22</v>
      </c>
      <c r="H131" s="1">
        <v>46136</v>
      </c>
      <c r="I131" s="1">
        <v>46136</v>
      </c>
      <c r="J131" t="s">
        <v>17</v>
      </c>
      <c r="K131">
        <v>10</v>
      </c>
      <c r="L131" s="2">
        <f t="shared" si="8"/>
        <v>0</v>
      </c>
      <c r="M131" t="str">
        <f t="shared" si="9"/>
        <v>Met</v>
      </c>
      <c r="N131">
        <f t="shared" si="10"/>
        <v>1</v>
      </c>
      <c r="O131" t="str">
        <f t="shared" si="11"/>
        <v>Low</v>
      </c>
    </row>
    <row r="132" spans="1:15" x14ac:dyDescent="0.2">
      <c r="A132" t="s">
        <v>171</v>
      </c>
      <c r="B132" s="1">
        <v>46135</v>
      </c>
      <c r="C132" t="s">
        <v>48</v>
      </c>
      <c r="D132" t="s">
        <v>49</v>
      </c>
      <c r="E132" t="s">
        <v>26</v>
      </c>
      <c r="F132" t="s">
        <v>31</v>
      </c>
      <c r="G132" t="s">
        <v>16</v>
      </c>
      <c r="H132" s="1">
        <v>46136</v>
      </c>
      <c r="I132" s="1">
        <v>46135</v>
      </c>
      <c r="J132" t="s">
        <v>17</v>
      </c>
      <c r="K132">
        <v>3</v>
      </c>
      <c r="L132" s="2">
        <f t="shared" si="8"/>
        <v>-1</v>
      </c>
      <c r="M132" t="str">
        <f t="shared" si="9"/>
        <v>Met</v>
      </c>
      <c r="N132">
        <f t="shared" si="10"/>
        <v>1</v>
      </c>
      <c r="O132" t="str">
        <f t="shared" si="11"/>
        <v>Low</v>
      </c>
    </row>
    <row r="133" spans="1:15" x14ac:dyDescent="0.2">
      <c r="A133" t="s">
        <v>172</v>
      </c>
      <c r="B133" s="1">
        <v>46135</v>
      </c>
      <c r="C133" t="s">
        <v>12</v>
      </c>
      <c r="D133" t="s">
        <v>20</v>
      </c>
      <c r="E133" t="s">
        <v>14</v>
      </c>
      <c r="F133" t="s">
        <v>29</v>
      </c>
      <c r="G133" t="s">
        <v>22</v>
      </c>
      <c r="H133" s="1">
        <v>46137</v>
      </c>
      <c r="I133" s="1">
        <v>46137</v>
      </c>
      <c r="J133" t="s">
        <v>17</v>
      </c>
      <c r="K133">
        <v>8</v>
      </c>
      <c r="L133" s="2">
        <f t="shared" si="8"/>
        <v>0</v>
      </c>
      <c r="M133" t="str">
        <f t="shared" si="9"/>
        <v>Met</v>
      </c>
      <c r="N133">
        <f t="shared" si="10"/>
        <v>1</v>
      </c>
      <c r="O133" t="str">
        <f t="shared" si="11"/>
        <v>Low</v>
      </c>
    </row>
    <row r="134" spans="1:15" x14ac:dyDescent="0.2">
      <c r="A134" t="s">
        <v>173</v>
      </c>
      <c r="B134" s="1">
        <v>46135</v>
      </c>
      <c r="C134" t="s">
        <v>19</v>
      </c>
      <c r="D134" t="s">
        <v>34</v>
      </c>
      <c r="E134" t="s">
        <v>14</v>
      </c>
      <c r="F134" t="s">
        <v>15</v>
      </c>
      <c r="G134" t="s">
        <v>14</v>
      </c>
      <c r="H134" s="1">
        <v>46138</v>
      </c>
      <c r="I134" s="1">
        <v>46138</v>
      </c>
      <c r="J134" t="s">
        <v>17</v>
      </c>
      <c r="K134">
        <v>40</v>
      </c>
      <c r="L134" s="2">
        <f t="shared" si="8"/>
        <v>0</v>
      </c>
      <c r="M134" t="str">
        <f t="shared" si="9"/>
        <v>Met</v>
      </c>
      <c r="N134">
        <f t="shared" si="10"/>
        <v>1</v>
      </c>
      <c r="O134" t="str">
        <f t="shared" si="11"/>
        <v>Low</v>
      </c>
    </row>
    <row r="135" spans="1:15" x14ac:dyDescent="0.2">
      <c r="A135" t="s">
        <v>174</v>
      </c>
      <c r="B135" s="1">
        <v>46135</v>
      </c>
      <c r="C135" t="s">
        <v>19</v>
      </c>
      <c r="D135" t="s">
        <v>46</v>
      </c>
      <c r="E135" t="s">
        <v>14</v>
      </c>
      <c r="F135" t="s">
        <v>31</v>
      </c>
      <c r="G135" t="s">
        <v>16</v>
      </c>
      <c r="H135" s="1">
        <v>46136</v>
      </c>
      <c r="I135" s="1">
        <v>46136</v>
      </c>
      <c r="J135" t="s">
        <v>17</v>
      </c>
      <c r="K135">
        <v>1</v>
      </c>
      <c r="L135" s="2">
        <f t="shared" si="8"/>
        <v>0</v>
      </c>
      <c r="M135" t="str">
        <f t="shared" si="9"/>
        <v>Met</v>
      </c>
      <c r="N135">
        <f t="shared" si="10"/>
        <v>1</v>
      </c>
      <c r="O135" t="str">
        <f t="shared" si="11"/>
        <v>Low</v>
      </c>
    </row>
    <row r="136" spans="1:15" x14ac:dyDescent="0.2">
      <c r="A136" t="s">
        <v>175</v>
      </c>
      <c r="B136" s="1">
        <v>46135</v>
      </c>
      <c r="C136" t="s">
        <v>12</v>
      </c>
      <c r="D136" t="s">
        <v>34</v>
      </c>
      <c r="E136" t="s">
        <v>14</v>
      </c>
      <c r="F136" t="s">
        <v>21</v>
      </c>
      <c r="G136" t="s">
        <v>14</v>
      </c>
      <c r="H136" s="1">
        <v>46138</v>
      </c>
      <c r="I136" s="1">
        <v>46138</v>
      </c>
      <c r="J136" t="s">
        <v>17</v>
      </c>
      <c r="K136">
        <v>9</v>
      </c>
      <c r="L136" s="2">
        <f t="shared" si="8"/>
        <v>0</v>
      </c>
      <c r="M136" t="str">
        <f t="shared" si="9"/>
        <v>Met</v>
      </c>
      <c r="N136">
        <f t="shared" si="10"/>
        <v>1</v>
      </c>
      <c r="O136" t="str">
        <f t="shared" si="11"/>
        <v>Low</v>
      </c>
    </row>
    <row r="137" spans="1:15" x14ac:dyDescent="0.2">
      <c r="A137" t="s">
        <v>176</v>
      </c>
      <c r="B137" s="1">
        <v>46135</v>
      </c>
      <c r="C137" t="s">
        <v>33</v>
      </c>
      <c r="D137" t="s">
        <v>41</v>
      </c>
      <c r="E137" t="s">
        <v>14</v>
      </c>
      <c r="F137" t="s">
        <v>29</v>
      </c>
      <c r="G137" t="s">
        <v>16</v>
      </c>
      <c r="H137" s="1">
        <v>46136</v>
      </c>
      <c r="I137" s="1">
        <v>46136</v>
      </c>
      <c r="J137" t="s">
        <v>17</v>
      </c>
      <c r="K137">
        <v>15</v>
      </c>
      <c r="L137" s="2">
        <f t="shared" si="8"/>
        <v>0</v>
      </c>
      <c r="M137" t="str">
        <f t="shared" si="9"/>
        <v>Met</v>
      </c>
      <c r="N137">
        <f t="shared" si="10"/>
        <v>1</v>
      </c>
      <c r="O137" t="str">
        <f t="shared" si="11"/>
        <v>Low</v>
      </c>
    </row>
    <row r="138" spans="1:15" x14ac:dyDescent="0.2">
      <c r="A138" t="s">
        <v>177</v>
      </c>
      <c r="B138" s="1">
        <v>46136</v>
      </c>
      <c r="C138" t="s">
        <v>19</v>
      </c>
      <c r="D138" t="s">
        <v>44</v>
      </c>
      <c r="E138" t="s">
        <v>26</v>
      </c>
      <c r="F138" t="s">
        <v>75</v>
      </c>
      <c r="G138" t="s">
        <v>22</v>
      </c>
      <c r="H138" s="1">
        <v>46138</v>
      </c>
      <c r="I138" s="1">
        <v>46138</v>
      </c>
      <c r="J138" t="s">
        <v>17</v>
      </c>
      <c r="K138">
        <v>30</v>
      </c>
      <c r="L138" s="2">
        <f t="shared" si="8"/>
        <v>0</v>
      </c>
      <c r="M138" t="str">
        <f t="shared" si="9"/>
        <v>Met</v>
      </c>
      <c r="N138">
        <f t="shared" si="10"/>
        <v>1</v>
      </c>
      <c r="O138" t="str">
        <f t="shared" si="11"/>
        <v>Low</v>
      </c>
    </row>
    <row r="139" spans="1:15" x14ac:dyDescent="0.2">
      <c r="A139" t="s">
        <v>178</v>
      </c>
      <c r="B139" s="1">
        <v>46136</v>
      </c>
      <c r="C139" t="s">
        <v>48</v>
      </c>
      <c r="D139" t="s">
        <v>54</v>
      </c>
      <c r="E139" t="s">
        <v>14</v>
      </c>
      <c r="F139" t="s">
        <v>35</v>
      </c>
      <c r="G139" t="s">
        <v>16</v>
      </c>
      <c r="H139" s="1">
        <v>46137</v>
      </c>
      <c r="I139" s="1">
        <v>46137</v>
      </c>
      <c r="J139" t="s">
        <v>17</v>
      </c>
      <c r="K139">
        <v>6</v>
      </c>
      <c r="L139" s="2">
        <f t="shared" si="8"/>
        <v>0</v>
      </c>
      <c r="M139" t="str">
        <f t="shared" si="9"/>
        <v>Met</v>
      </c>
      <c r="N139">
        <f t="shared" si="10"/>
        <v>1</v>
      </c>
      <c r="O139" t="str">
        <f t="shared" si="11"/>
        <v>Low</v>
      </c>
    </row>
    <row r="140" spans="1:15" x14ac:dyDescent="0.2">
      <c r="A140" t="s">
        <v>179</v>
      </c>
      <c r="B140" s="1">
        <v>46136</v>
      </c>
      <c r="C140" t="s">
        <v>12</v>
      </c>
      <c r="D140" t="s">
        <v>49</v>
      </c>
      <c r="E140" t="s">
        <v>26</v>
      </c>
      <c r="F140" t="s">
        <v>75</v>
      </c>
      <c r="G140" t="s">
        <v>14</v>
      </c>
      <c r="H140" s="1">
        <v>46139</v>
      </c>
      <c r="I140" s="1">
        <v>46140</v>
      </c>
      <c r="J140" t="s">
        <v>42</v>
      </c>
      <c r="K140">
        <v>26</v>
      </c>
      <c r="L140" s="2">
        <f t="shared" si="8"/>
        <v>1</v>
      </c>
      <c r="M140" t="str">
        <f t="shared" si="9"/>
        <v>Breached</v>
      </c>
      <c r="N140">
        <f t="shared" si="10"/>
        <v>0</v>
      </c>
      <c r="O140" t="str">
        <f t="shared" si="11"/>
        <v>High</v>
      </c>
    </row>
    <row r="141" spans="1:15" x14ac:dyDescent="0.2">
      <c r="A141" t="s">
        <v>180</v>
      </c>
      <c r="B141" s="1">
        <v>46136</v>
      </c>
      <c r="C141" t="s">
        <v>48</v>
      </c>
      <c r="D141" t="s">
        <v>39</v>
      </c>
      <c r="E141" t="s">
        <v>26</v>
      </c>
      <c r="F141" t="s">
        <v>29</v>
      </c>
      <c r="G141" t="s">
        <v>22</v>
      </c>
      <c r="H141" s="1">
        <v>46138</v>
      </c>
      <c r="I141" s="1">
        <v>46138</v>
      </c>
      <c r="J141" t="s">
        <v>17</v>
      </c>
      <c r="K141">
        <v>18</v>
      </c>
      <c r="L141" s="2">
        <f t="shared" si="8"/>
        <v>0</v>
      </c>
      <c r="M141" t="str">
        <f t="shared" si="9"/>
        <v>Met</v>
      </c>
      <c r="N141">
        <f t="shared" si="10"/>
        <v>1</v>
      </c>
      <c r="O141" t="str">
        <f t="shared" si="11"/>
        <v>Low</v>
      </c>
    </row>
    <row r="142" spans="1:15" x14ac:dyDescent="0.2">
      <c r="A142" t="s">
        <v>181</v>
      </c>
      <c r="B142" s="1">
        <v>46136</v>
      </c>
      <c r="C142" t="s">
        <v>12</v>
      </c>
      <c r="D142" t="s">
        <v>39</v>
      </c>
      <c r="E142" t="s">
        <v>26</v>
      </c>
      <c r="F142" t="s">
        <v>31</v>
      </c>
      <c r="G142" t="s">
        <v>22</v>
      </c>
      <c r="H142" s="1">
        <v>46138</v>
      </c>
      <c r="I142" s="1">
        <v>46138</v>
      </c>
      <c r="J142" t="s">
        <v>17</v>
      </c>
      <c r="K142">
        <v>36</v>
      </c>
      <c r="L142" s="2">
        <f t="shared" si="8"/>
        <v>0</v>
      </c>
      <c r="M142" t="str">
        <f t="shared" si="9"/>
        <v>Met</v>
      </c>
      <c r="N142">
        <f t="shared" si="10"/>
        <v>1</v>
      </c>
      <c r="O142" t="str">
        <f t="shared" si="11"/>
        <v>Low</v>
      </c>
    </row>
    <row r="143" spans="1:15" x14ac:dyDescent="0.2">
      <c r="A143" t="s">
        <v>182</v>
      </c>
      <c r="B143" s="1">
        <v>46136</v>
      </c>
      <c r="C143" t="s">
        <v>12</v>
      </c>
      <c r="D143" t="s">
        <v>67</v>
      </c>
      <c r="E143" t="s">
        <v>14</v>
      </c>
      <c r="F143" t="s">
        <v>29</v>
      </c>
      <c r="G143" t="s">
        <v>14</v>
      </c>
      <c r="H143" s="1">
        <v>46139</v>
      </c>
      <c r="I143" s="1">
        <v>46139</v>
      </c>
      <c r="J143" t="s">
        <v>17</v>
      </c>
      <c r="K143">
        <v>2</v>
      </c>
      <c r="L143" s="2">
        <f t="shared" si="8"/>
        <v>0</v>
      </c>
      <c r="M143" t="str">
        <f t="shared" si="9"/>
        <v>Met</v>
      </c>
      <c r="N143">
        <f t="shared" si="10"/>
        <v>1</v>
      </c>
      <c r="O143" t="str">
        <f t="shared" si="11"/>
        <v>Low</v>
      </c>
    </row>
    <row r="144" spans="1:15" x14ac:dyDescent="0.2">
      <c r="A144" t="s">
        <v>183</v>
      </c>
      <c r="B144" s="1">
        <v>46137</v>
      </c>
      <c r="C144" t="s">
        <v>12</v>
      </c>
      <c r="D144" t="s">
        <v>54</v>
      </c>
      <c r="E144" t="s">
        <v>14</v>
      </c>
      <c r="F144" t="s">
        <v>35</v>
      </c>
      <c r="G144" t="s">
        <v>16</v>
      </c>
      <c r="H144" s="1">
        <v>46138</v>
      </c>
      <c r="I144" s="1">
        <v>46138</v>
      </c>
      <c r="J144" t="s">
        <v>17</v>
      </c>
      <c r="K144">
        <v>30</v>
      </c>
      <c r="L144" s="2">
        <f t="shared" si="8"/>
        <v>0</v>
      </c>
      <c r="M144" t="str">
        <f t="shared" si="9"/>
        <v>Met</v>
      </c>
      <c r="N144">
        <f t="shared" si="10"/>
        <v>1</v>
      </c>
      <c r="O144" t="str">
        <f t="shared" si="11"/>
        <v>Low</v>
      </c>
    </row>
    <row r="145" spans="1:15" x14ac:dyDescent="0.2">
      <c r="A145" t="s">
        <v>184</v>
      </c>
      <c r="B145" s="1">
        <v>46137</v>
      </c>
      <c r="C145" t="s">
        <v>33</v>
      </c>
      <c r="D145" t="s">
        <v>54</v>
      </c>
      <c r="E145" t="s">
        <v>14</v>
      </c>
      <c r="F145" t="s">
        <v>15</v>
      </c>
      <c r="G145" t="s">
        <v>14</v>
      </c>
      <c r="H145" s="1">
        <v>46140</v>
      </c>
      <c r="I145" s="1">
        <v>46140</v>
      </c>
      <c r="J145" t="s">
        <v>17</v>
      </c>
      <c r="K145">
        <v>23</v>
      </c>
      <c r="L145" s="2">
        <f t="shared" si="8"/>
        <v>0</v>
      </c>
      <c r="M145" t="str">
        <f t="shared" si="9"/>
        <v>Met</v>
      </c>
      <c r="N145">
        <f t="shared" si="10"/>
        <v>1</v>
      </c>
      <c r="O145" t="str">
        <f t="shared" si="11"/>
        <v>Low</v>
      </c>
    </row>
    <row r="146" spans="1:15" x14ac:dyDescent="0.2">
      <c r="A146" t="s">
        <v>185</v>
      </c>
      <c r="B146" s="1">
        <v>46137</v>
      </c>
      <c r="C146" t="s">
        <v>24</v>
      </c>
      <c r="D146" t="s">
        <v>20</v>
      </c>
      <c r="E146" t="s">
        <v>14</v>
      </c>
      <c r="F146" t="s">
        <v>35</v>
      </c>
      <c r="G146" t="s">
        <v>14</v>
      </c>
      <c r="H146" s="1">
        <v>46140</v>
      </c>
      <c r="I146" s="1">
        <v>46139</v>
      </c>
      <c r="J146" t="s">
        <v>17</v>
      </c>
      <c r="K146">
        <v>38</v>
      </c>
      <c r="L146" s="2">
        <f t="shared" si="8"/>
        <v>-1</v>
      </c>
      <c r="M146" t="str">
        <f t="shared" si="9"/>
        <v>Met</v>
      </c>
      <c r="N146">
        <f t="shared" si="10"/>
        <v>1</v>
      </c>
      <c r="O146" t="str">
        <f t="shared" si="11"/>
        <v>Low</v>
      </c>
    </row>
    <row r="147" spans="1:15" x14ac:dyDescent="0.2">
      <c r="A147" t="s">
        <v>186</v>
      </c>
      <c r="B147" s="1">
        <v>46137</v>
      </c>
      <c r="C147" t="s">
        <v>12</v>
      </c>
      <c r="D147" t="s">
        <v>54</v>
      </c>
      <c r="E147" t="s">
        <v>14</v>
      </c>
      <c r="F147" t="s">
        <v>75</v>
      </c>
      <c r="G147" t="s">
        <v>22</v>
      </c>
      <c r="H147" s="1">
        <v>46139</v>
      </c>
      <c r="I147" s="1">
        <v>46139</v>
      </c>
      <c r="J147" t="s">
        <v>17</v>
      </c>
      <c r="K147">
        <v>4</v>
      </c>
      <c r="L147" s="2">
        <f t="shared" si="8"/>
        <v>0</v>
      </c>
      <c r="M147" t="str">
        <f t="shared" si="9"/>
        <v>Met</v>
      </c>
      <c r="N147">
        <f t="shared" si="10"/>
        <v>1</v>
      </c>
      <c r="O147" t="str">
        <f t="shared" si="11"/>
        <v>Low</v>
      </c>
    </row>
    <row r="148" spans="1:15" x14ac:dyDescent="0.2">
      <c r="A148" t="s">
        <v>187</v>
      </c>
      <c r="B148" s="1">
        <v>46137</v>
      </c>
      <c r="C148" t="s">
        <v>37</v>
      </c>
      <c r="D148" t="s">
        <v>28</v>
      </c>
      <c r="E148" t="s">
        <v>26</v>
      </c>
      <c r="F148" t="s">
        <v>31</v>
      </c>
      <c r="G148" t="s">
        <v>22</v>
      </c>
      <c r="H148" s="1">
        <v>46139</v>
      </c>
      <c r="I148" s="1">
        <v>46139</v>
      </c>
      <c r="J148" t="s">
        <v>17</v>
      </c>
      <c r="K148">
        <v>4</v>
      </c>
      <c r="L148" s="2">
        <f t="shared" si="8"/>
        <v>0</v>
      </c>
      <c r="M148" t="str">
        <f t="shared" si="9"/>
        <v>Met</v>
      </c>
      <c r="N148">
        <f t="shared" si="10"/>
        <v>1</v>
      </c>
      <c r="O148" t="str">
        <f t="shared" si="11"/>
        <v>Low</v>
      </c>
    </row>
    <row r="149" spans="1:15" x14ac:dyDescent="0.2">
      <c r="A149" t="s">
        <v>188</v>
      </c>
      <c r="B149" s="1">
        <v>46138</v>
      </c>
      <c r="C149" t="s">
        <v>24</v>
      </c>
      <c r="D149" t="s">
        <v>49</v>
      </c>
      <c r="E149" t="s">
        <v>26</v>
      </c>
      <c r="F149" t="s">
        <v>31</v>
      </c>
      <c r="G149" t="s">
        <v>14</v>
      </c>
      <c r="H149" s="1">
        <v>46141</v>
      </c>
      <c r="I149" s="1">
        <v>46141</v>
      </c>
      <c r="J149" t="s">
        <v>17</v>
      </c>
      <c r="K149">
        <v>16</v>
      </c>
      <c r="L149" s="2">
        <f t="shared" si="8"/>
        <v>0</v>
      </c>
      <c r="M149" t="str">
        <f t="shared" si="9"/>
        <v>Met</v>
      </c>
      <c r="N149">
        <f t="shared" si="10"/>
        <v>1</v>
      </c>
      <c r="O149" t="str">
        <f t="shared" si="11"/>
        <v>Low</v>
      </c>
    </row>
    <row r="150" spans="1:15" x14ac:dyDescent="0.2">
      <c r="A150" t="s">
        <v>189</v>
      </c>
      <c r="B150" s="1">
        <v>46138</v>
      </c>
      <c r="C150" t="s">
        <v>19</v>
      </c>
      <c r="D150" t="s">
        <v>54</v>
      </c>
      <c r="E150" t="s">
        <v>14</v>
      </c>
      <c r="F150" t="s">
        <v>35</v>
      </c>
      <c r="G150" t="s">
        <v>14</v>
      </c>
      <c r="H150" s="1">
        <v>46141</v>
      </c>
      <c r="I150" s="1">
        <v>46141</v>
      </c>
      <c r="J150" t="s">
        <v>17</v>
      </c>
      <c r="K150">
        <v>17</v>
      </c>
      <c r="L150" s="2">
        <f t="shared" si="8"/>
        <v>0</v>
      </c>
      <c r="M150" t="str">
        <f t="shared" si="9"/>
        <v>Met</v>
      </c>
      <c r="N150">
        <f t="shared" si="10"/>
        <v>1</v>
      </c>
      <c r="O150" t="str">
        <f t="shared" si="11"/>
        <v>Low</v>
      </c>
    </row>
    <row r="151" spans="1:15" x14ac:dyDescent="0.2">
      <c r="A151" t="s">
        <v>190</v>
      </c>
      <c r="B151" s="1">
        <v>46138</v>
      </c>
      <c r="C151" t="s">
        <v>48</v>
      </c>
      <c r="D151" t="s">
        <v>20</v>
      </c>
      <c r="E151" t="s">
        <v>14</v>
      </c>
      <c r="F151" t="s">
        <v>35</v>
      </c>
      <c r="G151" t="s">
        <v>14</v>
      </c>
      <c r="H151" s="1">
        <v>46141</v>
      </c>
      <c r="I151" s="1">
        <v>46141</v>
      </c>
      <c r="J151" t="s">
        <v>17</v>
      </c>
      <c r="K151">
        <v>24</v>
      </c>
      <c r="L151" s="2">
        <f t="shared" si="8"/>
        <v>0</v>
      </c>
      <c r="M151" t="str">
        <f t="shared" si="9"/>
        <v>Met</v>
      </c>
      <c r="N151">
        <f t="shared" si="10"/>
        <v>1</v>
      </c>
      <c r="O151" t="str">
        <f t="shared" si="11"/>
        <v>Low</v>
      </c>
    </row>
    <row r="152" spans="1:15" x14ac:dyDescent="0.2">
      <c r="A152" t="s">
        <v>191</v>
      </c>
      <c r="B152" s="1">
        <v>46138</v>
      </c>
      <c r="C152" t="s">
        <v>24</v>
      </c>
      <c r="D152" t="s">
        <v>20</v>
      </c>
      <c r="E152" t="s">
        <v>14</v>
      </c>
      <c r="F152" t="s">
        <v>29</v>
      </c>
      <c r="G152" t="s">
        <v>22</v>
      </c>
      <c r="H152" s="1">
        <v>46140</v>
      </c>
      <c r="I152" s="1">
        <v>46140</v>
      </c>
      <c r="J152" t="s">
        <v>17</v>
      </c>
      <c r="K152">
        <v>22</v>
      </c>
      <c r="L152" s="2">
        <f t="shared" si="8"/>
        <v>0</v>
      </c>
      <c r="M152" t="str">
        <f t="shared" si="9"/>
        <v>Met</v>
      </c>
      <c r="N152">
        <f t="shared" si="10"/>
        <v>1</v>
      </c>
      <c r="O152" t="str">
        <f t="shared" si="11"/>
        <v>Low</v>
      </c>
    </row>
    <row r="153" spans="1:15" x14ac:dyDescent="0.2">
      <c r="A153" t="s">
        <v>192</v>
      </c>
      <c r="B153" s="1">
        <v>46139</v>
      </c>
      <c r="C153" t="s">
        <v>19</v>
      </c>
      <c r="D153" t="s">
        <v>54</v>
      </c>
      <c r="E153" t="s">
        <v>14</v>
      </c>
      <c r="F153" t="s">
        <v>21</v>
      </c>
      <c r="G153" t="s">
        <v>16</v>
      </c>
      <c r="H153" s="1">
        <v>46140</v>
      </c>
      <c r="I153" s="1">
        <v>46140</v>
      </c>
      <c r="J153" t="s">
        <v>17</v>
      </c>
      <c r="K153">
        <v>17</v>
      </c>
      <c r="L153" s="2">
        <f t="shared" si="8"/>
        <v>0</v>
      </c>
      <c r="M153" t="str">
        <f t="shared" si="9"/>
        <v>Met</v>
      </c>
      <c r="N153">
        <f t="shared" si="10"/>
        <v>1</v>
      </c>
      <c r="O153" t="str">
        <f t="shared" si="11"/>
        <v>Low</v>
      </c>
    </row>
    <row r="154" spans="1:15" x14ac:dyDescent="0.2">
      <c r="A154" t="s">
        <v>193</v>
      </c>
      <c r="B154" s="1">
        <v>46139</v>
      </c>
      <c r="C154" t="s">
        <v>48</v>
      </c>
      <c r="D154" t="s">
        <v>54</v>
      </c>
      <c r="E154" t="s">
        <v>14</v>
      </c>
      <c r="F154" t="s">
        <v>35</v>
      </c>
      <c r="G154" t="s">
        <v>14</v>
      </c>
      <c r="H154" s="1">
        <v>46142</v>
      </c>
      <c r="I154" s="1">
        <v>46142</v>
      </c>
      <c r="J154" t="s">
        <v>17</v>
      </c>
      <c r="K154">
        <v>33</v>
      </c>
      <c r="L154" s="2">
        <f t="shared" si="8"/>
        <v>0</v>
      </c>
      <c r="M154" t="str">
        <f t="shared" si="9"/>
        <v>Met</v>
      </c>
      <c r="N154">
        <f t="shared" si="10"/>
        <v>1</v>
      </c>
      <c r="O154" t="str">
        <f t="shared" si="11"/>
        <v>Low</v>
      </c>
    </row>
    <row r="155" spans="1:15" x14ac:dyDescent="0.2">
      <c r="A155" t="s">
        <v>194</v>
      </c>
      <c r="B155" s="1">
        <v>46140</v>
      </c>
      <c r="C155" t="s">
        <v>37</v>
      </c>
      <c r="D155" t="s">
        <v>46</v>
      </c>
      <c r="E155" t="s">
        <v>14</v>
      </c>
      <c r="F155" t="s">
        <v>29</v>
      </c>
      <c r="G155" t="s">
        <v>16</v>
      </c>
      <c r="H155" s="1">
        <v>46141</v>
      </c>
      <c r="I155" s="1">
        <v>46142</v>
      </c>
      <c r="J155" t="s">
        <v>42</v>
      </c>
      <c r="K155">
        <v>38</v>
      </c>
      <c r="L155" s="2">
        <f t="shared" si="8"/>
        <v>1</v>
      </c>
      <c r="M155" t="str">
        <f t="shared" si="9"/>
        <v>Breached</v>
      </c>
      <c r="N155">
        <f t="shared" si="10"/>
        <v>0</v>
      </c>
      <c r="O155" t="str">
        <f t="shared" si="11"/>
        <v>Medium</v>
      </c>
    </row>
    <row r="156" spans="1:15" x14ac:dyDescent="0.2">
      <c r="A156" t="s">
        <v>195</v>
      </c>
      <c r="B156" s="1">
        <v>46140</v>
      </c>
      <c r="C156" t="s">
        <v>24</v>
      </c>
      <c r="D156" t="s">
        <v>28</v>
      </c>
      <c r="E156" t="s">
        <v>26</v>
      </c>
      <c r="F156" t="s">
        <v>29</v>
      </c>
      <c r="G156" t="s">
        <v>16</v>
      </c>
      <c r="H156" s="1">
        <v>46141</v>
      </c>
      <c r="I156" s="1">
        <v>46141</v>
      </c>
      <c r="J156" t="s">
        <v>17</v>
      </c>
      <c r="K156">
        <v>36</v>
      </c>
      <c r="L156" s="2">
        <f t="shared" si="8"/>
        <v>0</v>
      </c>
      <c r="M156" t="str">
        <f t="shared" si="9"/>
        <v>Met</v>
      </c>
      <c r="N156">
        <f t="shared" si="10"/>
        <v>1</v>
      </c>
      <c r="O156" t="str">
        <f t="shared" si="11"/>
        <v>Low</v>
      </c>
    </row>
    <row r="157" spans="1:15" x14ac:dyDescent="0.2">
      <c r="A157" t="s">
        <v>196</v>
      </c>
      <c r="B157" s="1">
        <v>46140</v>
      </c>
      <c r="C157" t="s">
        <v>37</v>
      </c>
      <c r="D157" t="s">
        <v>13</v>
      </c>
      <c r="E157" t="s">
        <v>14</v>
      </c>
      <c r="F157" t="s">
        <v>15</v>
      </c>
      <c r="G157" t="s">
        <v>16</v>
      </c>
      <c r="H157" s="1">
        <v>46141</v>
      </c>
      <c r="I157" s="1">
        <v>46141</v>
      </c>
      <c r="J157" t="s">
        <v>17</v>
      </c>
      <c r="K157">
        <v>18</v>
      </c>
      <c r="L157" s="2">
        <f t="shared" si="8"/>
        <v>0</v>
      </c>
      <c r="M157" t="str">
        <f t="shared" si="9"/>
        <v>Met</v>
      </c>
      <c r="N157">
        <f t="shared" si="10"/>
        <v>1</v>
      </c>
      <c r="O157" t="str">
        <f t="shared" si="11"/>
        <v>Low</v>
      </c>
    </row>
    <row r="158" spans="1:15" x14ac:dyDescent="0.2">
      <c r="A158" t="s">
        <v>197</v>
      </c>
      <c r="B158" s="1">
        <v>46140</v>
      </c>
      <c r="C158" t="s">
        <v>19</v>
      </c>
      <c r="D158" t="s">
        <v>67</v>
      </c>
      <c r="E158" t="s">
        <v>14</v>
      </c>
      <c r="F158" t="s">
        <v>15</v>
      </c>
      <c r="G158" t="s">
        <v>16</v>
      </c>
      <c r="H158" s="1">
        <v>46141</v>
      </c>
      <c r="I158" s="1">
        <v>46141</v>
      </c>
      <c r="J158" t="s">
        <v>17</v>
      </c>
      <c r="K158">
        <v>19</v>
      </c>
      <c r="L158" s="2">
        <f t="shared" si="8"/>
        <v>0</v>
      </c>
      <c r="M158" t="str">
        <f t="shared" si="9"/>
        <v>Met</v>
      </c>
      <c r="N158">
        <f t="shared" si="10"/>
        <v>1</v>
      </c>
      <c r="O158" t="str">
        <f t="shared" si="11"/>
        <v>Low</v>
      </c>
    </row>
    <row r="159" spans="1:15" x14ac:dyDescent="0.2">
      <c r="A159" t="s">
        <v>198</v>
      </c>
      <c r="B159" s="1">
        <v>46140</v>
      </c>
      <c r="C159" t="s">
        <v>12</v>
      </c>
      <c r="D159" t="s">
        <v>67</v>
      </c>
      <c r="E159" t="s">
        <v>14</v>
      </c>
      <c r="F159" t="s">
        <v>35</v>
      </c>
      <c r="G159" t="s">
        <v>16</v>
      </c>
      <c r="H159" s="1">
        <v>46141</v>
      </c>
      <c r="I159" s="1">
        <v>46140</v>
      </c>
      <c r="J159" t="s">
        <v>17</v>
      </c>
      <c r="K159">
        <v>11</v>
      </c>
      <c r="L159" s="2">
        <f t="shared" si="8"/>
        <v>-1</v>
      </c>
      <c r="M159" t="str">
        <f t="shared" si="9"/>
        <v>Met</v>
      </c>
      <c r="N159">
        <f t="shared" si="10"/>
        <v>1</v>
      </c>
      <c r="O159" t="str">
        <f t="shared" si="11"/>
        <v>Low</v>
      </c>
    </row>
    <row r="160" spans="1:15" x14ac:dyDescent="0.2">
      <c r="A160" t="s">
        <v>199</v>
      </c>
      <c r="B160" s="1">
        <v>46141</v>
      </c>
      <c r="C160" t="s">
        <v>12</v>
      </c>
      <c r="D160" t="s">
        <v>39</v>
      </c>
      <c r="E160" t="s">
        <v>26</v>
      </c>
      <c r="F160" t="s">
        <v>75</v>
      </c>
      <c r="G160" t="s">
        <v>14</v>
      </c>
      <c r="H160" s="1">
        <v>46144</v>
      </c>
      <c r="I160" s="1">
        <v>46144</v>
      </c>
      <c r="J160" t="s">
        <v>17</v>
      </c>
      <c r="K160">
        <v>35</v>
      </c>
      <c r="L160" s="2">
        <f t="shared" si="8"/>
        <v>0</v>
      </c>
      <c r="M160" t="str">
        <f t="shared" si="9"/>
        <v>Met</v>
      </c>
      <c r="N160">
        <f t="shared" si="10"/>
        <v>1</v>
      </c>
      <c r="O160" t="str">
        <f t="shared" si="11"/>
        <v>Low</v>
      </c>
    </row>
    <row r="161" spans="1:15" x14ac:dyDescent="0.2">
      <c r="A161" t="s">
        <v>200</v>
      </c>
      <c r="B161" s="1">
        <v>46141</v>
      </c>
      <c r="C161" t="s">
        <v>12</v>
      </c>
      <c r="D161" t="s">
        <v>25</v>
      </c>
      <c r="E161" t="s">
        <v>26</v>
      </c>
      <c r="F161" t="s">
        <v>21</v>
      </c>
      <c r="G161" t="s">
        <v>22</v>
      </c>
      <c r="H161" s="1">
        <v>46143</v>
      </c>
      <c r="I161" s="1">
        <v>46142</v>
      </c>
      <c r="J161" t="s">
        <v>17</v>
      </c>
      <c r="K161">
        <v>19</v>
      </c>
      <c r="L161" s="2">
        <f t="shared" si="8"/>
        <v>-1</v>
      </c>
      <c r="M161" t="str">
        <f t="shared" si="9"/>
        <v>Met</v>
      </c>
      <c r="N161">
        <f t="shared" si="10"/>
        <v>1</v>
      </c>
      <c r="O161" t="str">
        <f t="shared" si="11"/>
        <v>Low</v>
      </c>
    </row>
    <row r="162" spans="1:15" x14ac:dyDescent="0.2">
      <c r="A162" t="s">
        <v>201</v>
      </c>
      <c r="B162" s="1">
        <v>46141</v>
      </c>
      <c r="C162" t="s">
        <v>19</v>
      </c>
      <c r="D162" t="s">
        <v>46</v>
      </c>
      <c r="E162" t="s">
        <v>14</v>
      </c>
      <c r="F162" t="s">
        <v>29</v>
      </c>
      <c r="G162" t="s">
        <v>22</v>
      </c>
      <c r="H162" s="1">
        <v>46143</v>
      </c>
      <c r="I162" s="1">
        <v>46143</v>
      </c>
      <c r="J162" t="s">
        <v>17</v>
      </c>
      <c r="K162">
        <v>38</v>
      </c>
      <c r="L162" s="2">
        <f t="shared" si="8"/>
        <v>0</v>
      </c>
      <c r="M162" t="str">
        <f t="shared" si="9"/>
        <v>Met</v>
      </c>
      <c r="N162">
        <f t="shared" si="10"/>
        <v>1</v>
      </c>
      <c r="O162" t="str">
        <f t="shared" si="11"/>
        <v>Low</v>
      </c>
    </row>
    <row r="163" spans="1:15" x14ac:dyDescent="0.2">
      <c r="A163" t="s">
        <v>202</v>
      </c>
      <c r="B163" s="1">
        <v>46141</v>
      </c>
      <c r="C163" t="s">
        <v>48</v>
      </c>
      <c r="D163" t="s">
        <v>39</v>
      </c>
      <c r="E163" t="s">
        <v>26</v>
      </c>
      <c r="F163" t="s">
        <v>21</v>
      </c>
      <c r="G163" t="s">
        <v>22</v>
      </c>
      <c r="H163" s="1">
        <v>46143</v>
      </c>
      <c r="I163" s="1">
        <v>46143</v>
      </c>
      <c r="J163" t="s">
        <v>17</v>
      </c>
      <c r="K163">
        <v>40</v>
      </c>
      <c r="L163" s="2">
        <f t="shared" si="8"/>
        <v>0</v>
      </c>
      <c r="M163" t="str">
        <f t="shared" si="9"/>
        <v>Met</v>
      </c>
      <c r="N163">
        <f t="shared" si="10"/>
        <v>1</v>
      </c>
      <c r="O163" t="str">
        <f t="shared" si="11"/>
        <v>Low</v>
      </c>
    </row>
    <row r="164" spans="1:15" x14ac:dyDescent="0.2">
      <c r="A164" t="s">
        <v>203</v>
      </c>
      <c r="B164" s="1">
        <v>46141</v>
      </c>
      <c r="C164" t="s">
        <v>12</v>
      </c>
      <c r="D164" t="s">
        <v>67</v>
      </c>
      <c r="E164" t="s">
        <v>14</v>
      </c>
      <c r="F164" t="s">
        <v>31</v>
      </c>
      <c r="G164" t="s">
        <v>16</v>
      </c>
      <c r="H164" s="1">
        <v>46142</v>
      </c>
      <c r="I164" s="1">
        <v>46145</v>
      </c>
      <c r="J164" t="s">
        <v>42</v>
      </c>
      <c r="K164">
        <v>22</v>
      </c>
      <c r="L164" s="2">
        <f t="shared" si="8"/>
        <v>3</v>
      </c>
      <c r="M164" t="str">
        <f t="shared" si="9"/>
        <v>Breached</v>
      </c>
      <c r="N164">
        <f t="shared" si="10"/>
        <v>0</v>
      </c>
      <c r="O164" t="str">
        <f t="shared" si="11"/>
        <v>Medium</v>
      </c>
    </row>
    <row r="165" spans="1:15" x14ac:dyDescent="0.2">
      <c r="A165" t="s">
        <v>204</v>
      </c>
      <c r="B165" s="1">
        <v>46141</v>
      </c>
      <c r="C165" t="s">
        <v>37</v>
      </c>
      <c r="D165" t="s">
        <v>49</v>
      </c>
      <c r="E165" t="s">
        <v>26</v>
      </c>
      <c r="F165" t="s">
        <v>31</v>
      </c>
      <c r="G165" t="s">
        <v>16</v>
      </c>
      <c r="H165" s="1">
        <v>46142</v>
      </c>
      <c r="I165" s="1">
        <v>46142</v>
      </c>
      <c r="J165" t="s">
        <v>17</v>
      </c>
      <c r="K165">
        <v>38</v>
      </c>
      <c r="L165" s="2">
        <f t="shared" si="8"/>
        <v>0</v>
      </c>
      <c r="M165" t="str">
        <f t="shared" si="9"/>
        <v>Met</v>
      </c>
      <c r="N165">
        <f t="shared" si="10"/>
        <v>1</v>
      </c>
      <c r="O165" t="str">
        <f t="shared" si="11"/>
        <v>Low</v>
      </c>
    </row>
    <row r="166" spans="1:15" x14ac:dyDescent="0.2">
      <c r="A166" t="s">
        <v>205</v>
      </c>
      <c r="B166" s="1">
        <v>46142</v>
      </c>
      <c r="C166" t="s">
        <v>24</v>
      </c>
      <c r="D166" t="s">
        <v>41</v>
      </c>
      <c r="E166" t="s">
        <v>14</v>
      </c>
      <c r="F166" t="s">
        <v>31</v>
      </c>
      <c r="G166" t="s">
        <v>22</v>
      </c>
      <c r="H166" s="1">
        <v>46144</v>
      </c>
      <c r="I166" s="1">
        <v>46144</v>
      </c>
      <c r="J166" t="s">
        <v>17</v>
      </c>
      <c r="K166">
        <v>38</v>
      </c>
      <c r="L166" s="2">
        <f t="shared" si="8"/>
        <v>0</v>
      </c>
      <c r="M166" t="str">
        <f t="shared" si="9"/>
        <v>Met</v>
      </c>
      <c r="N166">
        <f t="shared" si="10"/>
        <v>1</v>
      </c>
      <c r="O166" t="str">
        <f t="shared" si="11"/>
        <v>Low</v>
      </c>
    </row>
    <row r="167" spans="1:15" x14ac:dyDescent="0.2">
      <c r="A167" t="s">
        <v>206</v>
      </c>
      <c r="B167" s="1">
        <v>46142</v>
      </c>
      <c r="C167" t="s">
        <v>48</v>
      </c>
      <c r="D167" t="s">
        <v>25</v>
      </c>
      <c r="E167" t="s">
        <v>26</v>
      </c>
      <c r="F167" t="s">
        <v>15</v>
      </c>
      <c r="G167" t="s">
        <v>16</v>
      </c>
      <c r="H167" s="1">
        <v>46143</v>
      </c>
      <c r="I167" s="1">
        <v>46143</v>
      </c>
      <c r="J167" t="s">
        <v>17</v>
      </c>
      <c r="K167">
        <v>32</v>
      </c>
      <c r="L167" s="2">
        <f t="shared" si="8"/>
        <v>0</v>
      </c>
      <c r="M167" t="str">
        <f t="shared" si="9"/>
        <v>Met</v>
      </c>
      <c r="N167">
        <f t="shared" si="10"/>
        <v>1</v>
      </c>
      <c r="O167" t="str">
        <f t="shared" si="11"/>
        <v>Low</v>
      </c>
    </row>
    <row r="168" spans="1:15" x14ac:dyDescent="0.2">
      <c r="A168" t="s">
        <v>207</v>
      </c>
      <c r="B168" s="1">
        <v>46142</v>
      </c>
      <c r="C168" t="s">
        <v>24</v>
      </c>
      <c r="D168" t="s">
        <v>44</v>
      </c>
      <c r="E168" t="s">
        <v>26</v>
      </c>
      <c r="F168" t="s">
        <v>35</v>
      </c>
      <c r="G168" t="s">
        <v>16</v>
      </c>
      <c r="H168" s="1">
        <v>46143</v>
      </c>
      <c r="I168" s="1">
        <v>46143</v>
      </c>
      <c r="J168" t="s">
        <v>17</v>
      </c>
      <c r="K168">
        <v>26</v>
      </c>
      <c r="L168" s="2">
        <f t="shared" si="8"/>
        <v>0</v>
      </c>
      <c r="M168" t="str">
        <f t="shared" si="9"/>
        <v>Met</v>
      </c>
      <c r="N168">
        <f t="shared" si="10"/>
        <v>1</v>
      </c>
      <c r="O168" t="str">
        <f t="shared" si="11"/>
        <v>Low</v>
      </c>
    </row>
    <row r="169" spans="1:15" x14ac:dyDescent="0.2">
      <c r="A169" t="s">
        <v>208</v>
      </c>
      <c r="B169" s="1">
        <v>46142</v>
      </c>
      <c r="C169" t="s">
        <v>19</v>
      </c>
      <c r="D169" t="s">
        <v>34</v>
      </c>
      <c r="E169" t="s">
        <v>14</v>
      </c>
      <c r="F169" t="s">
        <v>29</v>
      </c>
      <c r="G169" t="s">
        <v>14</v>
      </c>
      <c r="H169" s="1">
        <v>46145</v>
      </c>
      <c r="I169" s="1">
        <v>46145</v>
      </c>
      <c r="J169" t="s">
        <v>17</v>
      </c>
      <c r="K169">
        <v>1</v>
      </c>
      <c r="L169" s="2">
        <f t="shared" si="8"/>
        <v>0</v>
      </c>
      <c r="M169" t="str">
        <f t="shared" si="9"/>
        <v>Met</v>
      </c>
      <c r="N169">
        <f t="shared" si="10"/>
        <v>1</v>
      </c>
      <c r="O169" t="str">
        <f t="shared" si="11"/>
        <v>Low</v>
      </c>
    </row>
    <row r="170" spans="1:15" x14ac:dyDescent="0.2">
      <c r="A170" t="s">
        <v>209</v>
      </c>
      <c r="B170" s="1">
        <v>46142</v>
      </c>
      <c r="C170" t="s">
        <v>12</v>
      </c>
      <c r="D170" t="s">
        <v>34</v>
      </c>
      <c r="E170" t="s">
        <v>14</v>
      </c>
      <c r="F170" t="s">
        <v>29</v>
      </c>
      <c r="G170" t="s">
        <v>16</v>
      </c>
      <c r="H170" s="1">
        <v>46143</v>
      </c>
      <c r="I170" s="1">
        <v>46143</v>
      </c>
      <c r="J170" t="s">
        <v>17</v>
      </c>
      <c r="K170">
        <v>7</v>
      </c>
      <c r="L170" s="2">
        <f t="shared" si="8"/>
        <v>0</v>
      </c>
      <c r="M170" t="str">
        <f t="shared" si="9"/>
        <v>Met</v>
      </c>
      <c r="N170">
        <f t="shared" si="10"/>
        <v>1</v>
      </c>
      <c r="O170" t="str">
        <f t="shared" si="11"/>
        <v>Low</v>
      </c>
    </row>
    <row r="171" spans="1:15" x14ac:dyDescent="0.2">
      <c r="A171" t="s">
        <v>210</v>
      </c>
      <c r="B171" s="1">
        <v>46142</v>
      </c>
      <c r="C171" t="s">
        <v>19</v>
      </c>
      <c r="D171" t="s">
        <v>28</v>
      </c>
      <c r="E171" t="s">
        <v>26</v>
      </c>
      <c r="F171" t="s">
        <v>29</v>
      </c>
      <c r="G171" t="s">
        <v>16</v>
      </c>
      <c r="H171" s="1">
        <v>46143</v>
      </c>
      <c r="I171" s="1">
        <v>46143</v>
      </c>
      <c r="J171" t="s">
        <v>17</v>
      </c>
      <c r="K171">
        <v>31</v>
      </c>
      <c r="L171" s="2">
        <f t="shared" si="8"/>
        <v>0</v>
      </c>
      <c r="M171" t="str">
        <f t="shared" si="9"/>
        <v>Met</v>
      </c>
      <c r="N171">
        <f t="shared" si="10"/>
        <v>1</v>
      </c>
      <c r="O171" t="str">
        <f t="shared" si="11"/>
        <v>Low</v>
      </c>
    </row>
    <row r="172" spans="1:15" x14ac:dyDescent="0.2">
      <c r="A172" t="s">
        <v>211</v>
      </c>
      <c r="B172" s="1">
        <v>46142</v>
      </c>
      <c r="C172" t="s">
        <v>19</v>
      </c>
      <c r="D172" t="s">
        <v>20</v>
      </c>
      <c r="E172" t="s">
        <v>14</v>
      </c>
      <c r="F172" t="s">
        <v>35</v>
      </c>
      <c r="G172" t="s">
        <v>16</v>
      </c>
      <c r="H172" s="1">
        <v>46143</v>
      </c>
      <c r="I172" s="1">
        <v>46143</v>
      </c>
      <c r="J172" t="s">
        <v>17</v>
      </c>
      <c r="K172">
        <v>13</v>
      </c>
      <c r="L172" s="2">
        <f t="shared" si="8"/>
        <v>0</v>
      </c>
      <c r="M172" t="str">
        <f t="shared" si="9"/>
        <v>Met</v>
      </c>
      <c r="N172">
        <f t="shared" si="10"/>
        <v>1</v>
      </c>
      <c r="O172" t="str">
        <f t="shared" si="11"/>
        <v>Low</v>
      </c>
    </row>
    <row r="173" spans="1:15" x14ac:dyDescent="0.2">
      <c r="A173" t="s">
        <v>212</v>
      </c>
      <c r="B173" s="1">
        <v>46142</v>
      </c>
      <c r="C173" t="s">
        <v>33</v>
      </c>
      <c r="D173" t="s">
        <v>67</v>
      </c>
      <c r="E173" t="s">
        <v>14</v>
      </c>
      <c r="F173" t="s">
        <v>29</v>
      </c>
      <c r="G173" t="s">
        <v>16</v>
      </c>
      <c r="H173" s="1">
        <v>46143</v>
      </c>
      <c r="I173" s="1">
        <v>46143</v>
      </c>
      <c r="J173" t="s">
        <v>17</v>
      </c>
      <c r="K173">
        <v>7</v>
      </c>
      <c r="L173" s="2">
        <f t="shared" si="8"/>
        <v>0</v>
      </c>
      <c r="M173" t="str">
        <f t="shared" si="9"/>
        <v>Met</v>
      </c>
      <c r="N173">
        <f t="shared" si="10"/>
        <v>1</v>
      </c>
      <c r="O173" t="str">
        <f t="shared" si="11"/>
        <v>Low</v>
      </c>
    </row>
    <row r="174" spans="1:15" x14ac:dyDescent="0.2">
      <c r="A174" t="s">
        <v>213</v>
      </c>
      <c r="B174" s="1">
        <v>46142</v>
      </c>
      <c r="C174" t="s">
        <v>19</v>
      </c>
      <c r="D174" t="s">
        <v>39</v>
      </c>
      <c r="E174" t="s">
        <v>26</v>
      </c>
      <c r="F174" t="s">
        <v>75</v>
      </c>
      <c r="G174" t="s">
        <v>14</v>
      </c>
      <c r="H174" s="1">
        <v>46145</v>
      </c>
      <c r="I174" s="1">
        <v>46145</v>
      </c>
      <c r="J174" t="s">
        <v>17</v>
      </c>
      <c r="K174">
        <v>37</v>
      </c>
      <c r="L174" s="2">
        <f t="shared" si="8"/>
        <v>0</v>
      </c>
      <c r="M174" t="str">
        <f t="shared" si="9"/>
        <v>Met</v>
      </c>
      <c r="N174">
        <f t="shared" si="10"/>
        <v>1</v>
      </c>
      <c r="O174" t="str">
        <f t="shared" si="11"/>
        <v>Low</v>
      </c>
    </row>
    <row r="175" spans="1:15" x14ac:dyDescent="0.2">
      <c r="A175" t="s">
        <v>214</v>
      </c>
      <c r="B175" s="1">
        <v>46142</v>
      </c>
      <c r="C175" t="s">
        <v>12</v>
      </c>
      <c r="D175" t="s">
        <v>41</v>
      </c>
      <c r="E175" t="s">
        <v>14</v>
      </c>
      <c r="F175" t="s">
        <v>21</v>
      </c>
      <c r="G175" t="s">
        <v>16</v>
      </c>
      <c r="H175" s="1">
        <v>46143</v>
      </c>
      <c r="I175" s="1">
        <v>46143</v>
      </c>
      <c r="J175" t="s">
        <v>17</v>
      </c>
      <c r="K175">
        <v>26</v>
      </c>
      <c r="L175" s="2">
        <f t="shared" si="8"/>
        <v>0</v>
      </c>
      <c r="M175" t="str">
        <f t="shared" si="9"/>
        <v>Met</v>
      </c>
      <c r="N175">
        <f t="shared" si="10"/>
        <v>1</v>
      </c>
      <c r="O175" t="str">
        <f t="shared" si="11"/>
        <v>Low</v>
      </c>
    </row>
    <row r="176" spans="1:15" x14ac:dyDescent="0.2">
      <c r="A176" t="s">
        <v>215</v>
      </c>
      <c r="B176" s="1">
        <v>46143</v>
      </c>
      <c r="C176" t="s">
        <v>33</v>
      </c>
      <c r="D176" t="s">
        <v>28</v>
      </c>
      <c r="E176" t="s">
        <v>26</v>
      </c>
      <c r="F176" t="s">
        <v>15</v>
      </c>
      <c r="G176" t="s">
        <v>22</v>
      </c>
      <c r="H176" s="1">
        <v>46145</v>
      </c>
      <c r="I176" s="1">
        <v>46145</v>
      </c>
      <c r="J176" t="s">
        <v>17</v>
      </c>
      <c r="K176">
        <v>35</v>
      </c>
      <c r="L176" s="2">
        <f t="shared" si="8"/>
        <v>0</v>
      </c>
      <c r="M176" t="str">
        <f t="shared" si="9"/>
        <v>Met</v>
      </c>
      <c r="N176">
        <f t="shared" si="10"/>
        <v>1</v>
      </c>
      <c r="O176" t="str">
        <f t="shared" si="11"/>
        <v>Low</v>
      </c>
    </row>
    <row r="177" spans="1:15" x14ac:dyDescent="0.2">
      <c r="A177" t="s">
        <v>216</v>
      </c>
      <c r="B177" s="1">
        <v>46143</v>
      </c>
      <c r="C177" t="s">
        <v>48</v>
      </c>
      <c r="D177" t="s">
        <v>20</v>
      </c>
      <c r="E177" t="s">
        <v>14</v>
      </c>
      <c r="F177" t="s">
        <v>35</v>
      </c>
      <c r="G177" t="s">
        <v>22</v>
      </c>
      <c r="H177" s="1">
        <v>46145</v>
      </c>
      <c r="I177" s="1">
        <v>46146</v>
      </c>
      <c r="J177" t="s">
        <v>42</v>
      </c>
      <c r="K177">
        <v>30</v>
      </c>
      <c r="L177" s="2">
        <f t="shared" si="8"/>
        <v>1</v>
      </c>
      <c r="M177" t="str">
        <f t="shared" si="9"/>
        <v>Breached</v>
      </c>
      <c r="N177">
        <f t="shared" si="10"/>
        <v>0</v>
      </c>
      <c r="O177" t="str">
        <f t="shared" si="11"/>
        <v>Medium</v>
      </c>
    </row>
    <row r="178" spans="1:15" x14ac:dyDescent="0.2">
      <c r="A178" t="s">
        <v>217</v>
      </c>
      <c r="B178" s="1">
        <v>46143</v>
      </c>
      <c r="C178" t="s">
        <v>24</v>
      </c>
      <c r="D178" t="s">
        <v>67</v>
      </c>
      <c r="E178" t="s">
        <v>14</v>
      </c>
      <c r="F178" t="s">
        <v>35</v>
      </c>
      <c r="G178" t="s">
        <v>22</v>
      </c>
      <c r="H178" s="1">
        <v>46145</v>
      </c>
      <c r="I178" s="1">
        <v>46145</v>
      </c>
      <c r="J178" t="s">
        <v>17</v>
      </c>
      <c r="K178">
        <v>32</v>
      </c>
      <c r="L178" s="2">
        <f t="shared" si="8"/>
        <v>0</v>
      </c>
      <c r="M178" t="str">
        <f t="shared" si="9"/>
        <v>Met</v>
      </c>
      <c r="N178">
        <f t="shared" si="10"/>
        <v>1</v>
      </c>
      <c r="O178" t="str">
        <f t="shared" si="11"/>
        <v>Low</v>
      </c>
    </row>
    <row r="179" spans="1:15" x14ac:dyDescent="0.2">
      <c r="A179" t="s">
        <v>218</v>
      </c>
      <c r="B179" s="1">
        <v>46143</v>
      </c>
      <c r="C179" t="s">
        <v>33</v>
      </c>
      <c r="D179" t="s">
        <v>39</v>
      </c>
      <c r="E179" t="s">
        <v>26</v>
      </c>
      <c r="F179" t="s">
        <v>21</v>
      </c>
      <c r="G179" t="s">
        <v>16</v>
      </c>
      <c r="H179" s="1">
        <v>46144</v>
      </c>
      <c r="I179" s="1">
        <v>46147</v>
      </c>
      <c r="J179" t="s">
        <v>219</v>
      </c>
      <c r="K179">
        <v>6</v>
      </c>
      <c r="L179" s="2">
        <f t="shared" si="8"/>
        <v>3</v>
      </c>
      <c r="M179" t="str">
        <f t="shared" si="9"/>
        <v>Breached</v>
      </c>
      <c r="N179">
        <f t="shared" si="10"/>
        <v>0</v>
      </c>
      <c r="O179" t="str">
        <f t="shared" si="11"/>
        <v>High</v>
      </c>
    </row>
    <row r="180" spans="1:15" x14ac:dyDescent="0.2">
      <c r="A180" t="s">
        <v>220</v>
      </c>
      <c r="B180" s="1">
        <v>46143</v>
      </c>
      <c r="C180" t="s">
        <v>12</v>
      </c>
      <c r="D180" t="s">
        <v>41</v>
      </c>
      <c r="E180" t="s">
        <v>14</v>
      </c>
      <c r="F180" t="s">
        <v>35</v>
      </c>
      <c r="G180" t="s">
        <v>14</v>
      </c>
      <c r="H180" s="1">
        <v>46146</v>
      </c>
      <c r="I180" s="1">
        <v>46146</v>
      </c>
      <c r="J180" t="s">
        <v>17</v>
      </c>
      <c r="K180">
        <v>34</v>
      </c>
      <c r="L180" s="2">
        <f t="shared" si="8"/>
        <v>0</v>
      </c>
      <c r="M180" t="str">
        <f t="shared" si="9"/>
        <v>Met</v>
      </c>
      <c r="N180">
        <f t="shared" si="10"/>
        <v>1</v>
      </c>
      <c r="O180" t="str">
        <f t="shared" si="11"/>
        <v>Low</v>
      </c>
    </row>
    <row r="181" spans="1:15" x14ac:dyDescent="0.2">
      <c r="A181" t="s">
        <v>221</v>
      </c>
      <c r="B181" s="1">
        <v>46143</v>
      </c>
      <c r="C181" t="s">
        <v>33</v>
      </c>
      <c r="D181" t="s">
        <v>34</v>
      </c>
      <c r="E181" t="s">
        <v>14</v>
      </c>
      <c r="F181" t="s">
        <v>75</v>
      </c>
      <c r="G181" t="s">
        <v>22</v>
      </c>
      <c r="H181" s="1">
        <v>46145</v>
      </c>
      <c r="I181" s="1">
        <v>46145</v>
      </c>
      <c r="J181" t="s">
        <v>17</v>
      </c>
      <c r="K181">
        <v>1</v>
      </c>
      <c r="L181" s="2">
        <f t="shared" si="8"/>
        <v>0</v>
      </c>
      <c r="M181" t="str">
        <f t="shared" si="9"/>
        <v>Met</v>
      </c>
      <c r="N181">
        <f t="shared" si="10"/>
        <v>1</v>
      </c>
      <c r="O181" t="str">
        <f t="shared" si="11"/>
        <v>Low</v>
      </c>
    </row>
    <row r="182" spans="1:15" x14ac:dyDescent="0.2">
      <c r="A182" t="s">
        <v>222</v>
      </c>
      <c r="B182" s="1">
        <v>46143</v>
      </c>
      <c r="C182" t="s">
        <v>12</v>
      </c>
      <c r="D182" t="s">
        <v>67</v>
      </c>
      <c r="E182" t="s">
        <v>14</v>
      </c>
      <c r="F182" t="s">
        <v>35</v>
      </c>
      <c r="G182" t="s">
        <v>14</v>
      </c>
      <c r="H182" s="1">
        <v>46146</v>
      </c>
      <c r="I182" s="1">
        <v>46146</v>
      </c>
      <c r="J182" t="s">
        <v>17</v>
      </c>
      <c r="K182">
        <v>19</v>
      </c>
      <c r="L182" s="2">
        <f t="shared" si="8"/>
        <v>0</v>
      </c>
      <c r="M182" t="str">
        <f t="shared" si="9"/>
        <v>Met</v>
      </c>
      <c r="N182">
        <f t="shared" si="10"/>
        <v>1</v>
      </c>
      <c r="O182" t="str">
        <f t="shared" si="11"/>
        <v>Low</v>
      </c>
    </row>
    <row r="183" spans="1:15" x14ac:dyDescent="0.2">
      <c r="A183" t="s">
        <v>223</v>
      </c>
      <c r="B183" s="1">
        <v>46143</v>
      </c>
      <c r="C183" t="s">
        <v>33</v>
      </c>
      <c r="D183" t="s">
        <v>28</v>
      </c>
      <c r="E183" t="s">
        <v>26</v>
      </c>
      <c r="F183" t="s">
        <v>29</v>
      </c>
      <c r="G183" t="s">
        <v>16</v>
      </c>
      <c r="H183" s="1">
        <v>46144</v>
      </c>
      <c r="I183" s="1">
        <v>46145</v>
      </c>
      <c r="J183" t="s">
        <v>42</v>
      </c>
      <c r="K183">
        <v>26</v>
      </c>
      <c r="L183" s="2">
        <f t="shared" si="8"/>
        <v>1</v>
      </c>
      <c r="M183" t="str">
        <f t="shared" si="9"/>
        <v>Breached</v>
      </c>
      <c r="N183">
        <f t="shared" si="10"/>
        <v>0</v>
      </c>
      <c r="O183" t="str">
        <f t="shared" si="11"/>
        <v>High</v>
      </c>
    </row>
    <row r="184" spans="1:15" x14ac:dyDescent="0.2">
      <c r="A184" t="s">
        <v>224</v>
      </c>
      <c r="B184" s="1">
        <v>46143</v>
      </c>
      <c r="C184" t="s">
        <v>37</v>
      </c>
      <c r="D184" t="s">
        <v>13</v>
      </c>
      <c r="E184" t="s">
        <v>14</v>
      </c>
      <c r="F184" t="s">
        <v>15</v>
      </c>
      <c r="G184" t="s">
        <v>22</v>
      </c>
      <c r="H184" s="1">
        <v>46145</v>
      </c>
      <c r="I184" s="1">
        <v>46145</v>
      </c>
      <c r="J184" t="s">
        <v>17</v>
      </c>
      <c r="K184">
        <v>27</v>
      </c>
      <c r="L184" s="2">
        <f t="shared" si="8"/>
        <v>0</v>
      </c>
      <c r="M184" t="str">
        <f t="shared" si="9"/>
        <v>Met</v>
      </c>
      <c r="N184">
        <f t="shared" si="10"/>
        <v>1</v>
      </c>
      <c r="O184" t="str">
        <f t="shared" si="11"/>
        <v>Low</v>
      </c>
    </row>
    <row r="185" spans="1:15" x14ac:dyDescent="0.2">
      <c r="A185" t="s">
        <v>225</v>
      </c>
      <c r="B185" s="1">
        <v>46144</v>
      </c>
      <c r="C185" t="s">
        <v>24</v>
      </c>
      <c r="D185" t="s">
        <v>44</v>
      </c>
      <c r="E185" t="s">
        <v>26</v>
      </c>
      <c r="F185" t="s">
        <v>31</v>
      </c>
      <c r="G185" t="s">
        <v>22</v>
      </c>
      <c r="H185" s="1">
        <v>46146</v>
      </c>
      <c r="I185" s="1">
        <v>46146</v>
      </c>
      <c r="J185" t="s">
        <v>17</v>
      </c>
      <c r="K185">
        <v>39</v>
      </c>
      <c r="L185" s="2">
        <f t="shared" si="8"/>
        <v>0</v>
      </c>
      <c r="M185" t="str">
        <f t="shared" si="9"/>
        <v>Met</v>
      </c>
      <c r="N185">
        <f t="shared" si="10"/>
        <v>1</v>
      </c>
      <c r="O185" t="str">
        <f t="shared" si="11"/>
        <v>Low</v>
      </c>
    </row>
    <row r="186" spans="1:15" x14ac:dyDescent="0.2">
      <c r="A186" t="s">
        <v>226</v>
      </c>
      <c r="B186" s="1">
        <v>46144</v>
      </c>
      <c r="C186" t="s">
        <v>37</v>
      </c>
      <c r="D186" t="s">
        <v>39</v>
      </c>
      <c r="E186" t="s">
        <v>26</v>
      </c>
      <c r="F186" t="s">
        <v>29</v>
      </c>
      <c r="G186" t="s">
        <v>22</v>
      </c>
      <c r="H186" s="1">
        <v>46146</v>
      </c>
      <c r="I186" s="1">
        <v>46145</v>
      </c>
      <c r="J186" t="s">
        <v>17</v>
      </c>
      <c r="K186">
        <v>29</v>
      </c>
      <c r="L186" s="2">
        <f t="shared" si="8"/>
        <v>-1</v>
      </c>
      <c r="M186" t="str">
        <f t="shared" si="9"/>
        <v>Met</v>
      </c>
      <c r="N186">
        <f t="shared" si="10"/>
        <v>1</v>
      </c>
      <c r="O186" t="str">
        <f t="shared" si="11"/>
        <v>Low</v>
      </c>
    </row>
    <row r="187" spans="1:15" x14ac:dyDescent="0.2">
      <c r="A187" t="s">
        <v>227</v>
      </c>
      <c r="B187" s="1">
        <v>46145</v>
      </c>
      <c r="C187" t="s">
        <v>19</v>
      </c>
      <c r="D187" t="s">
        <v>34</v>
      </c>
      <c r="E187" t="s">
        <v>14</v>
      </c>
      <c r="F187" t="s">
        <v>29</v>
      </c>
      <c r="G187" t="s">
        <v>16</v>
      </c>
      <c r="H187" s="1">
        <v>46146</v>
      </c>
      <c r="I187" s="1">
        <v>46146</v>
      </c>
      <c r="J187" t="s">
        <v>17</v>
      </c>
      <c r="K187">
        <v>32</v>
      </c>
      <c r="L187" s="2">
        <f t="shared" si="8"/>
        <v>0</v>
      </c>
      <c r="M187" t="str">
        <f t="shared" si="9"/>
        <v>Met</v>
      </c>
      <c r="N187">
        <f t="shared" si="10"/>
        <v>1</v>
      </c>
      <c r="O187" t="str">
        <f t="shared" si="11"/>
        <v>Low</v>
      </c>
    </row>
    <row r="188" spans="1:15" x14ac:dyDescent="0.2">
      <c r="A188" t="s">
        <v>228</v>
      </c>
      <c r="B188" s="1">
        <v>46145</v>
      </c>
      <c r="C188" t="s">
        <v>19</v>
      </c>
      <c r="D188" t="s">
        <v>54</v>
      </c>
      <c r="E188" t="s">
        <v>14</v>
      </c>
      <c r="F188" t="s">
        <v>21</v>
      </c>
      <c r="G188" t="s">
        <v>14</v>
      </c>
      <c r="H188" s="1">
        <v>46148</v>
      </c>
      <c r="I188" s="1">
        <v>46147</v>
      </c>
      <c r="J188" t="s">
        <v>17</v>
      </c>
      <c r="K188">
        <v>19</v>
      </c>
      <c r="L188" s="2">
        <f t="shared" si="8"/>
        <v>-1</v>
      </c>
      <c r="M188" t="str">
        <f t="shared" si="9"/>
        <v>Met</v>
      </c>
      <c r="N188">
        <f t="shared" si="10"/>
        <v>1</v>
      </c>
      <c r="O188" t="str">
        <f t="shared" si="11"/>
        <v>Low</v>
      </c>
    </row>
    <row r="189" spans="1:15" x14ac:dyDescent="0.2">
      <c r="A189" t="s">
        <v>229</v>
      </c>
      <c r="B189" s="1">
        <v>46146</v>
      </c>
      <c r="C189" t="s">
        <v>33</v>
      </c>
      <c r="D189" t="s">
        <v>49</v>
      </c>
      <c r="E189" t="s">
        <v>26</v>
      </c>
      <c r="F189" t="s">
        <v>29</v>
      </c>
      <c r="G189" t="s">
        <v>22</v>
      </c>
      <c r="H189" s="1">
        <v>46148</v>
      </c>
      <c r="I189" s="1">
        <v>46148</v>
      </c>
      <c r="J189" t="s">
        <v>17</v>
      </c>
      <c r="K189">
        <v>27</v>
      </c>
      <c r="L189" s="2">
        <f t="shared" si="8"/>
        <v>0</v>
      </c>
      <c r="M189" t="str">
        <f t="shared" si="9"/>
        <v>Met</v>
      </c>
      <c r="N189">
        <f t="shared" si="10"/>
        <v>1</v>
      </c>
      <c r="O189" t="str">
        <f t="shared" si="11"/>
        <v>Low</v>
      </c>
    </row>
    <row r="190" spans="1:15" x14ac:dyDescent="0.2">
      <c r="A190" t="s">
        <v>230</v>
      </c>
      <c r="B190" s="1">
        <v>46146</v>
      </c>
      <c r="C190" t="s">
        <v>48</v>
      </c>
      <c r="D190" t="s">
        <v>54</v>
      </c>
      <c r="E190" t="s">
        <v>14</v>
      </c>
      <c r="F190" t="s">
        <v>21</v>
      </c>
      <c r="G190" t="s">
        <v>22</v>
      </c>
      <c r="H190" s="1">
        <v>46148</v>
      </c>
      <c r="I190" s="1">
        <v>46148</v>
      </c>
      <c r="J190" t="s">
        <v>17</v>
      </c>
      <c r="K190">
        <v>16</v>
      </c>
      <c r="L190" s="2">
        <f t="shared" si="8"/>
        <v>0</v>
      </c>
      <c r="M190" t="str">
        <f t="shared" si="9"/>
        <v>Met</v>
      </c>
      <c r="N190">
        <f t="shared" si="10"/>
        <v>1</v>
      </c>
      <c r="O190" t="str">
        <f t="shared" si="11"/>
        <v>Low</v>
      </c>
    </row>
    <row r="191" spans="1:15" x14ac:dyDescent="0.2">
      <c r="A191" t="s">
        <v>231</v>
      </c>
      <c r="B191" s="1">
        <v>46146</v>
      </c>
      <c r="C191" t="s">
        <v>24</v>
      </c>
      <c r="D191" t="s">
        <v>13</v>
      </c>
      <c r="E191" t="s">
        <v>14</v>
      </c>
      <c r="F191" t="s">
        <v>15</v>
      </c>
      <c r="G191" t="s">
        <v>22</v>
      </c>
      <c r="H191" s="1">
        <v>46148</v>
      </c>
      <c r="I191" s="1">
        <v>46148</v>
      </c>
      <c r="J191" t="s">
        <v>17</v>
      </c>
      <c r="K191">
        <v>4</v>
      </c>
      <c r="L191" s="2">
        <f t="shared" si="8"/>
        <v>0</v>
      </c>
      <c r="M191" t="str">
        <f t="shared" si="9"/>
        <v>Met</v>
      </c>
      <c r="N191">
        <f t="shared" si="10"/>
        <v>1</v>
      </c>
      <c r="O191" t="str">
        <f t="shared" si="11"/>
        <v>Low</v>
      </c>
    </row>
    <row r="192" spans="1:15" x14ac:dyDescent="0.2">
      <c r="A192" t="s">
        <v>232</v>
      </c>
      <c r="B192" s="1">
        <v>46147</v>
      </c>
      <c r="C192" t="s">
        <v>48</v>
      </c>
      <c r="D192" t="s">
        <v>67</v>
      </c>
      <c r="E192" t="s">
        <v>14</v>
      </c>
      <c r="F192" t="s">
        <v>15</v>
      </c>
      <c r="G192" t="s">
        <v>16</v>
      </c>
      <c r="H192" s="1">
        <v>46148</v>
      </c>
      <c r="I192" s="1">
        <v>46148</v>
      </c>
      <c r="J192" t="s">
        <v>17</v>
      </c>
      <c r="K192">
        <v>37</v>
      </c>
      <c r="L192" s="2">
        <f t="shared" si="8"/>
        <v>0</v>
      </c>
      <c r="M192" t="str">
        <f t="shared" si="9"/>
        <v>Met</v>
      </c>
      <c r="N192">
        <f t="shared" si="10"/>
        <v>1</v>
      </c>
      <c r="O192" t="str">
        <f t="shared" si="11"/>
        <v>Low</v>
      </c>
    </row>
    <row r="193" spans="1:15" x14ac:dyDescent="0.2">
      <c r="A193" t="s">
        <v>233</v>
      </c>
      <c r="B193" s="1">
        <v>46147</v>
      </c>
      <c r="C193" t="s">
        <v>24</v>
      </c>
      <c r="D193" t="s">
        <v>28</v>
      </c>
      <c r="E193" t="s">
        <v>26</v>
      </c>
      <c r="F193" t="s">
        <v>21</v>
      </c>
      <c r="G193" t="s">
        <v>22</v>
      </c>
      <c r="H193" s="1">
        <v>46149</v>
      </c>
      <c r="I193" s="1">
        <v>46149</v>
      </c>
      <c r="J193" t="s">
        <v>17</v>
      </c>
      <c r="K193">
        <v>7</v>
      </c>
      <c r="L193" s="2">
        <f t="shared" si="8"/>
        <v>0</v>
      </c>
      <c r="M193" t="str">
        <f t="shared" si="9"/>
        <v>Met</v>
      </c>
      <c r="N193">
        <f t="shared" si="10"/>
        <v>1</v>
      </c>
      <c r="O193" t="str">
        <f t="shared" si="11"/>
        <v>Low</v>
      </c>
    </row>
    <row r="194" spans="1:15" x14ac:dyDescent="0.2">
      <c r="A194" t="s">
        <v>234</v>
      </c>
      <c r="B194" s="1">
        <v>46147</v>
      </c>
      <c r="C194" t="s">
        <v>33</v>
      </c>
      <c r="D194" t="s">
        <v>28</v>
      </c>
      <c r="E194" t="s">
        <v>26</v>
      </c>
      <c r="F194" t="s">
        <v>31</v>
      </c>
      <c r="G194" t="s">
        <v>14</v>
      </c>
      <c r="H194" s="1">
        <v>46150</v>
      </c>
      <c r="I194" s="1">
        <v>46150</v>
      </c>
      <c r="J194" t="s">
        <v>17</v>
      </c>
      <c r="K194">
        <v>28</v>
      </c>
      <c r="L194" s="2">
        <f t="shared" ref="L194:L257" si="12">I194-H194</f>
        <v>0</v>
      </c>
      <c r="M194" t="str">
        <f t="shared" ref="M194:M257" si="13">IF(I194&lt;=H194, "Met", "Breached")</f>
        <v>Met</v>
      </c>
      <c r="N194">
        <f t="shared" ref="N194:N257" si="14">IF(M194="Met", 1,0)</f>
        <v>1</v>
      </c>
      <c r="O194" t="str">
        <f t="shared" ref="O194:O257" si="15">IF(AND(E194="VIP", M194="Breached"), "High", IF(M194="Breached","Medium", "Low"))</f>
        <v>Low</v>
      </c>
    </row>
    <row r="195" spans="1:15" x14ac:dyDescent="0.2">
      <c r="A195" t="s">
        <v>235</v>
      </c>
      <c r="B195" s="1">
        <v>46147</v>
      </c>
      <c r="C195" t="s">
        <v>37</v>
      </c>
      <c r="D195" t="s">
        <v>13</v>
      </c>
      <c r="E195" t="s">
        <v>14</v>
      </c>
      <c r="F195" t="s">
        <v>31</v>
      </c>
      <c r="G195" t="s">
        <v>22</v>
      </c>
      <c r="H195" s="1">
        <v>46149</v>
      </c>
      <c r="I195" s="1">
        <v>46149</v>
      </c>
      <c r="J195" t="s">
        <v>17</v>
      </c>
      <c r="K195">
        <v>15</v>
      </c>
      <c r="L195" s="2">
        <f t="shared" si="12"/>
        <v>0</v>
      </c>
      <c r="M195" t="str">
        <f t="shared" si="13"/>
        <v>Met</v>
      </c>
      <c r="N195">
        <f t="shared" si="14"/>
        <v>1</v>
      </c>
      <c r="O195" t="str">
        <f t="shared" si="15"/>
        <v>Low</v>
      </c>
    </row>
    <row r="196" spans="1:15" x14ac:dyDescent="0.2">
      <c r="A196" t="s">
        <v>236</v>
      </c>
      <c r="B196" s="1">
        <v>46147</v>
      </c>
      <c r="C196" t="s">
        <v>12</v>
      </c>
      <c r="D196" t="s">
        <v>49</v>
      </c>
      <c r="E196" t="s">
        <v>26</v>
      </c>
      <c r="F196" t="s">
        <v>21</v>
      </c>
      <c r="G196" t="s">
        <v>16</v>
      </c>
      <c r="H196" s="1">
        <v>46148</v>
      </c>
      <c r="I196" s="1">
        <v>46151</v>
      </c>
      <c r="J196" t="s">
        <v>42</v>
      </c>
      <c r="K196">
        <v>21</v>
      </c>
      <c r="L196" s="2">
        <f t="shared" si="12"/>
        <v>3</v>
      </c>
      <c r="M196" t="str">
        <f t="shared" si="13"/>
        <v>Breached</v>
      </c>
      <c r="N196">
        <f t="shared" si="14"/>
        <v>0</v>
      </c>
      <c r="O196" t="str">
        <f t="shared" si="15"/>
        <v>High</v>
      </c>
    </row>
    <row r="197" spans="1:15" x14ac:dyDescent="0.2">
      <c r="A197" t="s">
        <v>237</v>
      </c>
      <c r="B197" s="1">
        <v>46148</v>
      </c>
      <c r="C197" t="s">
        <v>48</v>
      </c>
      <c r="D197" t="s">
        <v>41</v>
      </c>
      <c r="E197" t="s">
        <v>14</v>
      </c>
      <c r="F197" t="s">
        <v>21</v>
      </c>
      <c r="G197" t="s">
        <v>22</v>
      </c>
      <c r="H197" s="1">
        <v>46150</v>
      </c>
      <c r="I197" s="1">
        <v>46150</v>
      </c>
      <c r="J197" t="s">
        <v>17</v>
      </c>
      <c r="K197">
        <v>35</v>
      </c>
      <c r="L197" s="2">
        <f t="shared" si="12"/>
        <v>0</v>
      </c>
      <c r="M197" t="str">
        <f t="shared" si="13"/>
        <v>Met</v>
      </c>
      <c r="N197">
        <f t="shared" si="14"/>
        <v>1</v>
      </c>
      <c r="O197" t="str">
        <f t="shared" si="15"/>
        <v>Low</v>
      </c>
    </row>
    <row r="198" spans="1:15" x14ac:dyDescent="0.2">
      <c r="A198" t="s">
        <v>238</v>
      </c>
      <c r="B198" s="1">
        <v>46148</v>
      </c>
      <c r="C198" t="s">
        <v>37</v>
      </c>
      <c r="D198" t="s">
        <v>28</v>
      </c>
      <c r="E198" t="s">
        <v>26</v>
      </c>
      <c r="F198" t="s">
        <v>31</v>
      </c>
      <c r="G198" t="s">
        <v>14</v>
      </c>
      <c r="H198" s="1">
        <v>46151</v>
      </c>
      <c r="I198" s="1">
        <v>46151</v>
      </c>
      <c r="J198" t="s">
        <v>17</v>
      </c>
      <c r="K198">
        <v>3</v>
      </c>
      <c r="L198" s="2">
        <f t="shared" si="12"/>
        <v>0</v>
      </c>
      <c r="M198" t="str">
        <f t="shared" si="13"/>
        <v>Met</v>
      </c>
      <c r="N198">
        <f t="shared" si="14"/>
        <v>1</v>
      </c>
      <c r="O198" t="str">
        <f t="shared" si="15"/>
        <v>Low</v>
      </c>
    </row>
    <row r="199" spans="1:15" x14ac:dyDescent="0.2">
      <c r="A199" t="s">
        <v>239</v>
      </c>
      <c r="B199" s="1">
        <v>46148</v>
      </c>
      <c r="C199" t="s">
        <v>19</v>
      </c>
      <c r="D199" t="s">
        <v>44</v>
      </c>
      <c r="E199" t="s">
        <v>26</v>
      </c>
      <c r="F199" t="s">
        <v>21</v>
      </c>
      <c r="G199" t="s">
        <v>16</v>
      </c>
      <c r="H199" s="1">
        <v>46149</v>
      </c>
      <c r="I199" s="1">
        <v>46149</v>
      </c>
      <c r="J199" t="s">
        <v>17</v>
      </c>
      <c r="K199">
        <v>8</v>
      </c>
      <c r="L199" s="2">
        <f t="shared" si="12"/>
        <v>0</v>
      </c>
      <c r="M199" t="str">
        <f t="shared" si="13"/>
        <v>Met</v>
      </c>
      <c r="N199">
        <f t="shared" si="14"/>
        <v>1</v>
      </c>
      <c r="O199" t="str">
        <f t="shared" si="15"/>
        <v>Low</v>
      </c>
    </row>
    <row r="200" spans="1:15" x14ac:dyDescent="0.2">
      <c r="A200" t="s">
        <v>240</v>
      </c>
      <c r="B200" s="1">
        <v>46148</v>
      </c>
      <c r="C200" t="s">
        <v>24</v>
      </c>
      <c r="D200" t="s">
        <v>39</v>
      </c>
      <c r="E200" t="s">
        <v>26</v>
      </c>
      <c r="F200" t="s">
        <v>31</v>
      </c>
      <c r="G200" t="s">
        <v>22</v>
      </c>
      <c r="H200" s="1">
        <v>46150</v>
      </c>
      <c r="I200" s="1">
        <v>46150</v>
      </c>
      <c r="J200" t="s">
        <v>17</v>
      </c>
      <c r="K200">
        <v>7</v>
      </c>
      <c r="L200" s="2">
        <f t="shared" si="12"/>
        <v>0</v>
      </c>
      <c r="M200" t="str">
        <f t="shared" si="13"/>
        <v>Met</v>
      </c>
      <c r="N200">
        <f t="shared" si="14"/>
        <v>1</v>
      </c>
      <c r="O200" t="str">
        <f t="shared" si="15"/>
        <v>Low</v>
      </c>
    </row>
    <row r="201" spans="1:15" x14ac:dyDescent="0.2">
      <c r="A201" t="s">
        <v>241</v>
      </c>
      <c r="B201" s="1">
        <v>46148</v>
      </c>
      <c r="C201" t="s">
        <v>37</v>
      </c>
      <c r="D201" t="s">
        <v>44</v>
      </c>
      <c r="E201" t="s">
        <v>26</v>
      </c>
      <c r="F201" t="s">
        <v>35</v>
      </c>
      <c r="G201" t="s">
        <v>22</v>
      </c>
      <c r="H201" s="1">
        <v>46150</v>
      </c>
      <c r="I201" s="1">
        <v>46150</v>
      </c>
      <c r="J201" t="s">
        <v>17</v>
      </c>
      <c r="K201">
        <v>11</v>
      </c>
      <c r="L201" s="2">
        <f t="shared" si="12"/>
        <v>0</v>
      </c>
      <c r="M201" t="str">
        <f t="shared" si="13"/>
        <v>Met</v>
      </c>
      <c r="N201">
        <f t="shared" si="14"/>
        <v>1</v>
      </c>
      <c r="O201" t="str">
        <f t="shared" si="15"/>
        <v>Low</v>
      </c>
    </row>
    <row r="202" spans="1:15" x14ac:dyDescent="0.2">
      <c r="A202" t="s">
        <v>242</v>
      </c>
      <c r="B202" s="1">
        <v>46148</v>
      </c>
      <c r="C202" t="s">
        <v>37</v>
      </c>
      <c r="D202" t="s">
        <v>28</v>
      </c>
      <c r="E202" t="s">
        <v>26</v>
      </c>
      <c r="F202" t="s">
        <v>15</v>
      </c>
      <c r="G202" t="s">
        <v>22</v>
      </c>
      <c r="H202" s="1">
        <v>46150</v>
      </c>
      <c r="I202" s="1">
        <v>46150</v>
      </c>
      <c r="J202" t="s">
        <v>17</v>
      </c>
      <c r="K202">
        <v>16</v>
      </c>
      <c r="L202" s="2">
        <f t="shared" si="12"/>
        <v>0</v>
      </c>
      <c r="M202" t="str">
        <f t="shared" si="13"/>
        <v>Met</v>
      </c>
      <c r="N202">
        <f t="shared" si="14"/>
        <v>1</v>
      </c>
      <c r="O202" t="str">
        <f t="shared" si="15"/>
        <v>Low</v>
      </c>
    </row>
    <row r="203" spans="1:15" x14ac:dyDescent="0.2">
      <c r="A203" t="s">
        <v>243</v>
      </c>
      <c r="B203" s="1">
        <v>46148</v>
      </c>
      <c r="C203" t="s">
        <v>19</v>
      </c>
      <c r="D203" t="s">
        <v>20</v>
      </c>
      <c r="E203" t="s">
        <v>14</v>
      </c>
      <c r="F203" t="s">
        <v>15</v>
      </c>
      <c r="G203" t="s">
        <v>14</v>
      </c>
      <c r="H203" s="1">
        <v>46151</v>
      </c>
      <c r="I203" s="1">
        <v>46151</v>
      </c>
      <c r="J203" t="s">
        <v>17</v>
      </c>
      <c r="K203">
        <v>22</v>
      </c>
      <c r="L203" s="2">
        <f t="shared" si="12"/>
        <v>0</v>
      </c>
      <c r="M203" t="str">
        <f t="shared" si="13"/>
        <v>Met</v>
      </c>
      <c r="N203">
        <f t="shared" si="14"/>
        <v>1</v>
      </c>
      <c r="O203" t="str">
        <f t="shared" si="15"/>
        <v>Low</v>
      </c>
    </row>
    <row r="204" spans="1:15" x14ac:dyDescent="0.2">
      <c r="A204" t="s">
        <v>244</v>
      </c>
      <c r="B204" s="1">
        <v>46149</v>
      </c>
      <c r="C204" t="s">
        <v>24</v>
      </c>
      <c r="D204" t="s">
        <v>67</v>
      </c>
      <c r="E204" t="s">
        <v>14</v>
      </c>
      <c r="F204" t="s">
        <v>29</v>
      </c>
      <c r="G204" t="s">
        <v>14</v>
      </c>
      <c r="H204" s="1">
        <v>46152</v>
      </c>
      <c r="I204" s="1">
        <v>46152</v>
      </c>
      <c r="J204" t="s">
        <v>17</v>
      </c>
      <c r="K204">
        <v>37</v>
      </c>
      <c r="L204" s="2">
        <f t="shared" si="12"/>
        <v>0</v>
      </c>
      <c r="M204" t="str">
        <f t="shared" si="13"/>
        <v>Met</v>
      </c>
      <c r="N204">
        <f t="shared" si="14"/>
        <v>1</v>
      </c>
      <c r="O204" t="str">
        <f t="shared" si="15"/>
        <v>Low</v>
      </c>
    </row>
    <row r="205" spans="1:15" x14ac:dyDescent="0.2">
      <c r="A205" t="s">
        <v>245</v>
      </c>
      <c r="B205" s="1">
        <v>46149</v>
      </c>
      <c r="C205" t="s">
        <v>12</v>
      </c>
      <c r="D205" t="s">
        <v>54</v>
      </c>
      <c r="E205" t="s">
        <v>14</v>
      </c>
      <c r="F205" t="s">
        <v>75</v>
      </c>
      <c r="G205" t="s">
        <v>22</v>
      </c>
      <c r="H205" s="1">
        <v>46151</v>
      </c>
      <c r="I205" s="1">
        <v>46151</v>
      </c>
      <c r="J205" t="s">
        <v>17</v>
      </c>
      <c r="K205">
        <v>20</v>
      </c>
      <c r="L205" s="2">
        <f t="shared" si="12"/>
        <v>0</v>
      </c>
      <c r="M205" t="str">
        <f t="shared" si="13"/>
        <v>Met</v>
      </c>
      <c r="N205">
        <f t="shared" si="14"/>
        <v>1</v>
      </c>
      <c r="O205" t="str">
        <f t="shared" si="15"/>
        <v>Low</v>
      </c>
    </row>
    <row r="206" spans="1:15" x14ac:dyDescent="0.2">
      <c r="A206" t="s">
        <v>246</v>
      </c>
      <c r="B206" s="1">
        <v>46149</v>
      </c>
      <c r="C206" t="s">
        <v>24</v>
      </c>
      <c r="D206" t="s">
        <v>46</v>
      </c>
      <c r="E206" t="s">
        <v>14</v>
      </c>
      <c r="F206" t="s">
        <v>75</v>
      </c>
      <c r="G206" t="s">
        <v>22</v>
      </c>
      <c r="H206" s="1">
        <v>46151</v>
      </c>
      <c r="I206" s="1">
        <v>46151</v>
      </c>
      <c r="J206" t="s">
        <v>17</v>
      </c>
      <c r="K206">
        <v>19</v>
      </c>
      <c r="L206" s="2">
        <f t="shared" si="12"/>
        <v>0</v>
      </c>
      <c r="M206" t="str">
        <f t="shared" si="13"/>
        <v>Met</v>
      </c>
      <c r="N206">
        <f t="shared" si="14"/>
        <v>1</v>
      </c>
      <c r="O206" t="str">
        <f t="shared" si="15"/>
        <v>Low</v>
      </c>
    </row>
    <row r="207" spans="1:15" x14ac:dyDescent="0.2">
      <c r="A207" t="s">
        <v>247</v>
      </c>
      <c r="B207" s="1">
        <v>46149</v>
      </c>
      <c r="C207" t="s">
        <v>48</v>
      </c>
      <c r="D207" t="s">
        <v>41</v>
      </c>
      <c r="E207" t="s">
        <v>14</v>
      </c>
      <c r="F207" t="s">
        <v>31</v>
      </c>
      <c r="G207" t="s">
        <v>22</v>
      </c>
      <c r="H207" s="1">
        <v>46151</v>
      </c>
      <c r="I207" s="1">
        <v>46151</v>
      </c>
      <c r="J207" t="s">
        <v>17</v>
      </c>
      <c r="K207">
        <v>35</v>
      </c>
      <c r="L207" s="2">
        <f t="shared" si="12"/>
        <v>0</v>
      </c>
      <c r="M207" t="str">
        <f t="shared" si="13"/>
        <v>Met</v>
      </c>
      <c r="N207">
        <f t="shared" si="14"/>
        <v>1</v>
      </c>
      <c r="O207" t="str">
        <f t="shared" si="15"/>
        <v>Low</v>
      </c>
    </row>
    <row r="208" spans="1:15" x14ac:dyDescent="0.2">
      <c r="A208" t="s">
        <v>248</v>
      </c>
      <c r="B208" s="1">
        <v>46149</v>
      </c>
      <c r="C208" t="s">
        <v>48</v>
      </c>
      <c r="D208" t="s">
        <v>34</v>
      </c>
      <c r="E208" t="s">
        <v>14</v>
      </c>
      <c r="F208" t="s">
        <v>31</v>
      </c>
      <c r="G208" t="s">
        <v>16</v>
      </c>
      <c r="H208" s="1">
        <v>46150</v>
      </c>
      <c r="I208" s="1">
        <v>46150</v>
      </c>
      <c r="J208" t="s">
        <v>17</v>
      </c>
      <c r="K208">
        <v>29</v>
      </c>
      <c r="L208" s="2">
        <f t="shared" si="12"/>
        <v>0</v>
      </c>
      <c r="M208" t="str">
        <f t="shared" si="13"/>
        <v>Met</v>
      </c>
      <c r="N208">
        <f t="shared" si="14"/>
        <v>1</v>
      </c>
      <c r="O208" t="str">
        <f t="shared" si="15"/>
        <v>Low</v>
      </c>
    </row>
    <row r="209" spans="1:15" x14ac:dyDescent="0.2">
      <c r="A209" t="s">
        <v>249</v>
      </c>
      <c r="B209" s="1">
        <v>46150</v>
      </c>
      <c r="C209" t="s">
        <v>33</v>
      </c>
      <c r="D209" t="s">
        <v>67</v>
      </c>
      <c r="E209" t="s">
        <v>14</v>
      </c>
      <c r="F209" t="s">
        <v>35</v>
      </c>
      <c r="G209" t="s">
        <v>14</v>
      </c>
      <c r="H209" s="1">
        <v>46153</v>
      </c>
      <c r="I209" s="1">
        <v>46153</v>
      </c>
      <c r="J209" t="s">
        <v>17</v>
      </c>
      <c r="K209">
        <v>37</v>
      </c>
      <c r="L209" s="2">
        <f t="shared" si="12"/>
        <v>0</v>
      </c>
      <c r="M209" t="str">
        <f t="shared" si="13"/>
        <v>Met</v>
      </c>
      <c r="N209">
        <f t="shared" si="14"/>
        <v>1</v>
      </c>
      <c r="O209" t="str">
        <f t="shared" si="15"/>
        <v>Low</v>
      </c>
    </row>
    <row r="210" spans="1:15" x14ac:dyDescent="0.2">
      <c r="A210" t="s">
        <v>250</v>
      </c>
      <c r="B210" s="1">
        <v>46150</v>
      </c>
      <c r="C210" t="s">
        <v>37</v>
      </c>
      <c r="D210" t="s">
        <v>67</v>
      </c>
      <c r="E210" t="s">
        <v>14</v>
      </c>
      <c r="F210" t="s">
        <v>21</v>
      </c>
      <c r="G210" t="s">
        <v>14</v>
      </c>
      <c r="H210" s="1">
        <v>46153</v>
      </c>
      <c r="I210" s="1">
        <v>46157</v>
      </c>
      <c r="J210" t="s">
        <v>42</v>
      </c>
      <c r="K210">
        <v>29</v>
      </c>
      <c r="L210" s="2">
        <f t="shared" si="12"/>
        <v>4</v>
      </c>
      <c r="M210" t="str">
        <f t="shared" si="13"/>
        <v>Breached</v>
      </c>
      <c r="N210">
        <f t="shared" si="14"/>
        <v>0</v>
      </c>
      <c r="O210" t="str">
        <f t="shared" si="15"/>
        <v>Medium</v>
      </c>
    </row>
    <row r="211" spans="1:15" x14ac:dyDescent="0.2">
      <c r="A211" t="s">
        <v>251</v>
      </c>
      <c r="B211" s="1">
        <v>46150</v>
      </c>
      <c r="C211" t="s">
        <v>12</v>
      </c>
      <c r="D211" t="s">
        <v>25</v>
      </c>
      <c r="E211" t="s">
        <v>26</v>
      </c>
      <c r="F211" t="s">
        <v>31</v>
      </c>
      <c r="G211" t="s">
        <v>14</v>
      </c>
      <c r="H211" s="1">
        <v>46153</v>
      </c>
      <c r="I211" s="1">
        <v>46153</v>
      </c>
      <c r="J211" t="s">
        <v>17</v>
      </c>
      <c r="K211">
        <v>27</v>
      </c>
      <c r="L211" s="2">
        <f t="shared" si="12"/>
        <v>0</v>
      </c>
      <c r="M211" t="str">
        <f t="shared" si="13"/>
        <v>Met</v>
      </c>
      <c r="N211">
        <f t="shared" si="14"/>
        <v>1</v>
      </c>
      <c r="O211" t="str">
        <f t="shared" si="15"/>
        <v>Low</v>
      </c>
    </row>
    <row r="212" spans="1:15" x14ac:dyDescent="0.2">
      <c r="A212" t="s">
        <v>252</v>
      </c>
      <c r="B212" s="1">
        <v>46151</v>
      </c>
      <c r="C212" t="s">
        <v>19</v>
      </c>
      <c r="D212" t="s">
        <v>13</v>
      </c>
      <c r="E212" t="s">
        <v>14</v>
      </c>
      <c r="F212" t="s">
        <v>29</v>
      </c>
      <c r="G212" t="s">
        <v>14</v>
      </c>
      <c r="H212" s="1">
        <v>46154</v>
      </c>
      <c r="I212" s="1">
        <v>46154</v>
      </c>
      <c r="J212" t="s">
        <v>17</v>
      </c>
      <c r="K212">
        <v>21</v>
      </c>
      <c r="L212" s="2">
        <f t="shared" si="12"/>
        <v>0</v>
      </c>
      <c r="M212" t="str">
        <f t="shared" si="13"/>
        <v>Met</v>
      </c>
      <c r="N212">
        <f t="shared" si="14"/>
        <v>1</v>
      </c>
      <c r="O212" t="str">
        <f t="shared" si="15"/>
        <v>Low</v>
      </c>
    </row>
    <row r="213" spans="1:15" x14ac:dyDescent="0.2">
      <c r="A213" t="s">
        <v>253</v>
      </c>
      <c r="B213" s="1">
        <v>46151</v>
      </c>
      <c r="C213" t="s">
        <v>48</v>
      </c>
      <c r="D213" t="s">
        <v>54</v>
      </c>
      <c r="E213" t="s">
        <v>14</v>
      </c>
      <c r="F213" t="s">
        <v>21</v>
      </c>
      <c r="G213" t="s">
        <v>14</v>
      </c>
      <c r="H213" s="1">
        <v>46154</v>
      </c>
      <c r="I213" s="1">
        <v>46154</v>
      </c>
      <c r="J213" t="s">
        <v>17</v>
      </c>
      <c r="K213">
        <v>32</v>
      </c>
      <c r="L213" s="2">
        <f t="shared" si="12"/>
        <v>0</v>
      </c>
      <c r="M213" t="str">
        <f t="shared" si="13"/>
        <v>Met</v>
      </c>
      <c r="N213">
        <f t="shared" si="14"/>
        <v>1</v>
      </c>
      <c r="O213" t="str">
        <f t="shared" si="15"/>
        <v>Low</v>
      </c>
    </row>
    <row r="214" spans="1:15" x14ac:dyDescent="0.2">
      <c r="A214" t="s">
        <v>254</v>
      </c>
      <c r="B214" s="1">
        <v>46151</v>
      </c>
      <c r="C214" t="s">
        <v>37</v>
      </c>
      <c r="D214" t="s">
        <v>25</v>
      </c>
      <c r="E214" t="s">
        <v>26</v>
      </c>
      <c r="F214" t="s">
        <v>29</v>
      </c>
      <c r="G214" t="s">
        <v>22</v>
      </c>
      <c r="H214" s="1">
        <v>46153</v>
      </c>
      <c r="I214" s="1">
        <v>46152</v>
      </c>
      <c r="J214" t="s">
        <v>17</v>
      </c>
      <c r="K214">
        <v>5</v>
      </c>
      <c r="L214" s="2">
        <f t="shared" si="12"/>
        <v>-1</v>
      </c>
      <c r="M214" t="str">
        <f t="shared" si="13"/>
        <v>Met</v>
      </c>
      <c r="N214">
        <f t="shared" si="14"/>
        <v>1</v>
      </c>
      <c r="O214" t="str">
        <f t="shared" si="15"/>
        <v>Low</v>
      </c>
    </row>
    <row r="215" spans="1:15" x14ac:dyDescent="0.2">
      <c r="A215" t="s">
        <v>255</v>
      </c>
      <c r="B215" s="1">
        <v>46151</v>
      </c>
      <c r="C215" t="s">
        <v>24</v>
      </c>
      <c r="D215" t="s">
        <v>41</v>
      </c>
      <c r="E215" t="s">
        <v>14</v>
      </c>
      <c r="F215" t="s">
        <v>15</v>
      </c>
      <c r="G215" t="s">
        <v>22</v>
      </c>
      <c r="H215" s="1">
        <v>46153</v>
      </c>
      <c r="I215" s="1">
        <v>46153</v>
      </c>
      <c r="J215" t="s">
        <v>17</v>
      </c>
      <c r="K215">
        <v>28</v>
      </c>
      <c r="L215" s="2">
        <f t="shared" si="12"/>
        <v>0</v>
      </c>
      <c r="M215" t="str">
        <f t="shared" si="13"/>
        <v>Met</v>
      </c>
      <c r="N215">
        <f t="shared" si="14"/>
        <v>1</v>
      </c>
      <c r="O215" t="str">
        <f t="shared" si="15"/>
        <v>Low</v>
      </c>
    </row>
    <row r="216" spans="1:15" x14ac:dyDescent="0.2">
      <c r="A216" t="s">
        <v>256</v>
      </c>
      <c r="B216" s="1">
        <v>46151</v>
      </c>
      <c r="C216" t="s">
        <v>37</v>
      </c>
      <c r="D216" t="s">
        <v>39</v>
      </c>
      <c r="E216" t="s">
        <v>26</v>
      </c>
      <c r="F216" t="s">
        <v>35</v>
      </c>
      <c r="G216" t="s">
        <v>16</v>
      </c>
      <c r="H216" s="1">
        <v>46152</v>
      </c>
      <c r="I216" s="1">
        <v>46152</v>
      </c>
      <c r="J216" t="s">
        <v>17</v>
      </c>
      <c r="K216">
        <v>23</v>
      </c>
      <c r="L216" s="2">
        <f t="shared" si="12"/>
        <v>0</v>
      </c>
      <c r="M216" t="str">
        <f t="shared" si="13"/>
        <v>Met</v>
      </c>
      <c r="N216">
        <f t="shared" si="14"/>
        <v>1</v>
      </c>
      <c r="O216" t="str">
        <f t="shared" si="15"/>
        <v>Low</v>
      </c>
    </row>
    <row r="217" spans="1:15" x14ac:dyDescent="0.2">
      <c r="A217" t="s">
        <v>257</v>
      </c>
      <c r="B217" s="1">
        <v>46151</v>
      </c>
      <c r="C217" t="s">
        <v>19</v>
      </c>
      <c r="D217" t="s">
        <v>25</v>
      </c>
      <c r="E217" t="s">
        <v>26</v>
      </c>
      <c r="F217" t="s">
        <v>75</v>
      </c>
      <c r="G217" t="s">
        <v>14</v>
      </c>
      <c r="H217" s="1">
        <v>46154</v>
      </c>
      <c r="I217" s="1">
        <v>46154</v>
      </c>
      <c r="J217" t="s">
        <v>17</v>
      </c>
      <c r="K217">
        <v>13</v>
      </c>
      <c r="L217" s="2">
        <f t="shared" si="12"/>
        <v>0</v>
      </c>
      <c r="M217" t="str">
        <f t="shared" si="13"/>
        <v>Met</v>
      </c>
      <c r="N217">
        <f t="shared" si="14"/>
        <v>1</v>
      </c>
      <c r="O217" t="str">
        <f t="shared" si="15"/>
        <v>Low</v>
      </c>
    </row>
    <row r="218" spans="1:15" x14ac:dyDescent="0.2">
      <c r="A218" t="s">
        <v>258</v>
      </c>
      <c r="B218" s="1">
        <v>46151</v>
      </c>
      <c r="C218" t="s">
        <v>33</v>
      </c>
      <c r="D218" t="s">
        <v>25</v>
      </c>
      <c r="E218" t="s">
        <v>26</v>
      </c>
      <c r="F218" t="s">
        <v>31</v>
      </c>
      <c r="G218" t="s">
        <v>14</v>
      </c>
      <c r="H218" s="1">
        <v>46154</v>
      </c>
      <c r="I218" s="1">
        <v>46154</v>
      </c>
      <c r="J218" t="s">
        <v>17</v>
      </c>
      <c r="K218">
        <v>16</v>
      </c>
      <c r="L218" s="2">
        <f t="shared" si="12"/>
        <v>0</v>
      </c>
      <c r="M218" t="str">
        <f t="shared" si="13"/>
        <v>Met</v>
      </c>
      <c r="N218">
        <f t="shared" si="14"/>
        <v>1</v>
      </c>
      <c r="O218" t="str">
        <f t="shared" si="15"/>
        <v>Low</v>
      </c>
    </row>
    <row r="219" spans="1:15" x14ac:dyDescent="0.2">
      <c r="A219" t="s">
        <v>259</v>
      </c>
      <c r="B219" s="1">
        <v>46151</v>
      </c>
      <c r="C219" t="s">
        <v>19</v>
      </c>
      <c r="D219" t="s">
        <v>28</v>
      </c>
      <c r="E219" t="s">
        <v>26</v>
      </c>
      <c r="F219" t="s">
        <v>31</v>
      </c>
      <c r="G219" t="s">
        <v>16</v>
      </c>
      <c r="H219" s="1">
        <v>46152</v>
      </c>
      <c r="I219" s="1">
        <v>46152</v>
      </c>
      <c r="J219" t="s">
        <v>17</v>
      </c>
      <c r="K219">
        <v>32</v>
      </c>
      <c r="L219" s="2">
        <f t="shared" si="12"/>
        <v>0</v>
      </c>
      <c r="M219" t="str">
        <f t="shared" si="13"/>
        <v>Met</v>
      </c>
      <c r="N219">
        <f t="shared" si="14"/>
        <v>1</v>
      </c>
      <c r="O219" t="str">
        <f t="shared" si="15"/>
        <v>Low</v>
      </c>
    </row>
    <row r="220" spans="1:15" x14ac:dyDescent="0.2">
      <c r="A220" t="s">
        <v>260</v>
      </c>
      <c r="B220" s="1">
        <v>46151</v>
      </c>
      <c r="C220" t="s">
        <v>37</v>
      </c>
      <c r="D220" t="s">
        <v>39</v>
      </c>
      <c r="E220" t="s">
        <v>26</v>
      </c>
      <c r="F220" t="s">
        <v>35</v>
      </c>
      <c r="G220" t="s">
        <v>22</v>
      </c>
      <c r="H220" s="1">
        <v>46153</v>
      </c>
      <c r="I220" s="1">
        <v>46152</v>
      </c>
      <c r="J220" t="s">
        <v>17</v>
      </c>
      <c r="K220">
        <v>33</v>
      </c>
      <c r="L220" s="2">
        <f t="shared" si="12"/>
        <v>-1</v>
      </c>
      <c r="M220" t="str">
        <f t="shared" si="13"/>
        <v>Met</v>
      </c>
      <c r="N220">
        <f t="shared" si="14"/>
        <v>1</v>
      </c>
      <c r="O220" t="str">
        <f t="shared" si="15"/>
        <v>Low</v>
      </c>
    </row>
    <row r="221" spans="1:15" x14ac:dyDescent="0.2">
      <c r="A221" t="s">
        <v>261</v>
      </c>
      <c r="B221" s="1">
        <v>46151</v>
      </c>
      <c r="C221" t="s">
        <v>24</v>
      </c>
      <c r="D221" t="s">
        <v>44</v>
      </c>
      <c r="E221" t="s">
        <v>26</v>
      </c>
      <c r="F221" t="s">
        <v>31</v>
      </c>
      <c r="G221" t="s">
        <v>14</v>
      </c>
      <c r="H221" s="1">
        <v>46154</v>
      </c>
      <c r="I221" s="1">
        <v>46154</v>
      </c>
      <c r="J221" t="s">
        <v>17</v>
      </c>
      <c r="K221">
        <v>28</v>
      </c>
      <c r="L221" s="2">
        <f t="shared" si="12"/>
        <v>0</v>
      </c>
      <c r="M221" t="str">
        <f t="shared" si="13"/>
        <v>Met</v>
      </c>
      <c r="N221">
        <f t="shared" si="14"/>
        <v>1</v>
      </c>
      <c r="O221" t="str">
        <f t="shared" si="15"/>
        <v>Low</v>
      </c>
    </row>
    <row r="222" spans="1:15" x14ac:dyDescent="0.2">
      <c r="A222" t="s">
        <v>262</v>
      </c>
      <c r="B222" s="1">
        <v>46152</v>
      </c>
      <c r="C222" t="s">
        <v>48</v>
      </c>
      <c r="D222" t="s">
        <v>20</v>
      </c>
      <c r="E222" t="s">
        <v>14</v>
      </c>
      <c r="F222" t="s">
        <v>35</v>
      </c>
      <c r="G222" t="s">
        <v>16</v>
      </c>
      <c r="H222" s="1">
        <v>46153</v>
      </c>
      <c r="I222" s="1">
        <v>46153</v>
      </c>
      <c r="J222" t="s">
        <v>17</v>
      </c>
      <c r="K222">
        <v>13</v>
      </c>
      <c r="L222" s="2">
        <f t="shared" si="12"/>
        <v>0</v>
      </c>
      <c r="M222" t="str">
        <f t="shared" si="13"/>
        <v>Met</v>
      </c>
      <c r="N222">
        <f t="shared" si="14"/>
        <v>1</v>
      </c>
      <c r="O222" t="str">
        <f t="shared" si="15"/>
        <v>Low</v>
      </c>
    </row>
    <row r="223" spans="1:15" x14ac:dyDescent="0.2">
      <c r="A223" t="s">
        <v>263</v>
      </c>
      <c r="B223" s="1">
        <v>46152</v>
      </c>
      <c r="C223" t="s">
        <v>33</v>
      </c>
      <c r="D223" t="s">
        <v>25</v>
      </c>
      <c r="E223" t="s">
        <v>26</v>
      </c>
      <c r="F223" t="s">
        <v>21</v>
      </c>
      <c r="G223" t="s">
        <v>22</v>
      </c>
      <c r="H223" s="1">
        <v>46154</v>
      </c>
      <c r="I223" s="1">
        <v>46154</v>
      </c>
      <c r="J223" t="s">
        <v>17</v>
      </c>
      <c r="K223">
        <v>12</v>
      </c>
      <c r="L223" s="2">
        <f t="shared" si="12"/>
        <v>0</v>
      </c>
      <c r="M223" t="str">
        <f t="shared" si="13"/>
        <v>Met</v>
      </c>
      <c r="N223">
        <f t="shared" si="14"/>
        <v>1</v>
      </c>
      <c r="O223" t="str">
        <f t="shared" si="15"/>
        <v>Low</v>
      </c>
    </row>
    <row r="224" spans="1:15" x14ac:dyDescent="0.2">
      <c r="A224" t="s">
        <v>264</v>
      </c>
      <c r="B224" s="1">
        <v>46152</v>
      </c>
      <c r="C224" t="s">
        <v>12</v>
      </c>
      <c r="D224" t="s">
        <v>46</v>
      </c>
      <c r="E224" t="s">
        <v>14</v>
      </c>
      <c r="F224" t="s">
        <v>29</v>
      </c>
      <c r="G224" t="s">
        <v>14</v>
      </c>
      <c r="H224" s="1">
        <v>46155</v>
      </c>
      <c r="I224" s="1">
        <v>46155</v>
      </c>
      <c r="J224" t="s">
        <v>17</v>
      </c>
      <c r="K224">
        <v>22</v>
      </c>
      <c r="L224" s="2">
        <f t="shared" si="12"/>
        <v>0</v>
      </c>
      <c r="M224" t="str">
        <f t="shared" si="13"/>
        <v>Met</v>
      </c>
      <c r="N224">
        <f t="shared" si="14"/>
        <v>1</v>
      </c>
      <c r="O224" t="str">
        <f t="shared" si="15"/>
        <v>Low</v>
      </c>
    </row>
    <row r="225" spans="1:15" x14ac:dyDescent="0.2">
      <c r="A225" t="s">
        <v>265</v>
      </c>
      <c r="B225" s="1">
        <v>46152</v>
      </c>
      <c r="C225" t="s">
        <v>12</v>
      </c>
      <c r="D225" t="s">
        <v>39</v>
      </c>
      <c r="E225" t="s">
        <v>26</v>
      </c>
      <c r="F225" t="s">
        <v>31</v>
      </c>
      <c r="G225" t="s">
        <v>14</v>
      </c>
      <c r="H225" s="1">
        <v>46155</v>
      </c>
      <c r="I225" s="1">
        <v>46155</v>
      </c>
      <c r="J225" t="s">
        <v>17</v>
      </c>
      <c r="K225">
        <v>19</v>
      </c>
      <c r="L225" s="2">
        <f t="shared" si="12"/>
        <v>0</v>
      </c>
      <c r="M225" t="str">
        <f t="shared" si="13"/>
        <v>Met</v>
      </c>
      <c r="N225">
        <f t="shared" si="14"/>
        <v>1</v>
      </c>
      <c r="O225" t="str">
        <f t="shared" si="15"/>
        <v>Low</v>
      </c>
    </row>
    <row r="226" spans="1:15" x14ac:dyDescent="0.2">
      <c r="A226" t="s">
        <v>266</v>
      </c>
      <c r="B226" s="1">
        <v>46152</v>
      </c>
      <c r="C226" t="s">
        <v>33</v>
      </c>
      <c r="D226" t="s">
        <v>20</v>
      </c>
      <c r="E226" t="s">
        <v>14</v>
      </c>
      <c r="F226" t="s">
        <v>15</v>
      </c>
      <c r="G226" t="s">
        <v>16</v>
      </c>
      <c r="H226" s="1">
        <v>46153</v>
      </c>
      <c r="I226" s="1">
        <v>46153</v>
      </c>
      <c r="J226" t="s">
        <v>17</v>
      </c>
      <c r="K226">
        <v>34</v>
      </c>
      <c r="L226" s="2">
        <f t="shared" si="12"/>
        <v>0</v>
      </c>
      <c r="M226" t="str">
        <f t="shared" si="13"/>
        <v>Met</v>
      </c>
      <c r="N226">
        <f t="shared" si="14"/>
        <v>1</v>
      </c>
      <c r="O226" t="str">
        <f t="shared" si="15"/>
        <v>Low</v>
      </c>
    </row>
    <row r="227" spans="1:15" x14ac:dyDescent="0.2">
      <c r="A227" t="s">
        <v>267</v>
      </c>
      <c r="B227" s="1">
        <v>46152</v>
      </c>
      <c r="C227" t="s">
        <v>48</v>
      </c>
      <c r="D227" t="s">
        <v>39</v>
      </c>
      <c r="E227" t="s">
        <v>26</v>
      </c>
      <c r="F227" t="s">
        <v>15</v>
      </c>
      <c r="G227" t="s">
        <v>22</v>
      </c>
      <c r="H227" s="1">
        <v>46154</v>
      </c>
      <c r="I227" s="1">
        <v>46154</v>
      </c>
      <c r="J227" t="s">
        <v>17</v>
      </c>
      <c r="K227">
        <v>2</v>
      </c>
      <c r="L227" s="2">
        <f t="shared" si="12"/>
        <v>0</v>
      </c>
      <c r="M227" t="str">
        <f t="shared" si="13"/>
        <v>Met</v>
      </c>
      <c r="N227">
        <f t="shared" si="14"/>
        <v>1</v>
      </c>
      <c r="O227" t="str">
        <f t="shared" si="15"/>
        <v>Low</v>
      </c>
    </row>
    <row r="228" spans="1:15" x14ac:dyDescent="0.2">
      <c r="A228" t="s">
        <v>268</v>
      </c>
      <c r="B228" s="1">
        <v>46153</v>
      </c>
      <c r="C228" t="s">
        <v>37</v>
      </c>
      <c r="D228" t="s">
        <v>39</v>
      </c>
      <c r="E228" t="s">
        <v>26</v>
      </c>
      <c r="F228" t="s">
        <v>29</v>
      </c>
      <c r="G228" t="s">
        <v>16</v>
      </c>
      <c r="H228" s="1">
        <v>46154</v>
      </c>
      <c r="I228" s="1">
        <v>46154</v>
      </c>
      <c r="J228" t="s">
        <v>17</v>
      </c>
      <c r="K228">
        <v>27</v>
      </c>
      <c r="L228" s="2">
        <f t="shared" si="12"/>
        <v>0</v>
      </c>
      <c r="M228" t="str">
        <f t="shared" si="13"/>
        <v>Met</v>
      </c>
      <c r="N228">
        <f t="shared" si="14"/>
        <v>1</v>
      </c>
      <c r="O228" t="str">
        <f t="shared" si="15"/>
        <v>Low</v>
      </c>
    </row>
    <row r="229" spans="1:15" x14ac:dyDescent="0.2">
      <c r="A229" t="s">
        <v>269</v>
      </c>
      <c r="B229" s="1">
        <v>46153</v>
      </c>
      <c r="C229" t="s">
        <v>19</v>
      </c>
      <c r="D229" t="s">
        <v>49</v>
      </c>
      <c r="E229" t="s">
        <v>26</v>
      </c>
      <c r="F229" t="s">
        <v>35</v>
      </c>
      <c r="G229" t="s">
        <v>14</v>
      </c>
      <c r="H229" s="1">
        <v>46156</v>
      </c>
      <c r="I229" s="1">
        <v>46156</v>
      </c>
      <c r="J229" t="s">
        <v>17</v>
      </c>
      <c r="K229">
        <v>26</v>
      </c>
      <c r="L229" s="2">
        <f t="shared" si="12"/>
        <v>0</v>
      </c>
      <c r="M229" t="str">
        <f t="shared" si="13"/>
        <v>Met</v>
      </c>
      <c r="N229">
        <f t="shared" si="14"/>
        <v>1</v>
      </c>
      <c r="O229" t="str">
        <f t="shared" si="15"/>
        <v>Low</v>
      </c>
    </row>
    <row r="230" spans="1:15" x14ac:dyDescent="0.2">
      <c r="A230" t="s">
        <v>270</v>
      </c>
      <c r="B230" s="1">
        <v>46153</v>
      </c>
      <c r="C230" t="s">
        <v>12</v>
      </c>
      <c r="D230" t="s">
        <v>25</v>
      </c>
      <c r="E230" t="s">
        <v>26</v>
      </c>
      <c r="F230" t="s">
        <v>21</v>
      </c>
      <c r="G230" t="s">
        <v>22</v>
      </c>
      <c r="H230" s="1">
        <v>46155</v>
      </c>
      <c r="I230" s="1">
        <v>46155</v>
      </c>
      <c r="J230" t="s">
        <v>17</v>
      </c>
      <c r="K230">
        <v>33</v>
      </c>
      <c r="L230" s="2">
        <f t="shared" si="12"/>
        <v>0</v>
      </c>
      <c r="M230" t="str">
        <f t="shared" si="13"/>
        <v>Met</v>
      </c>
      <c r="N230">
        <f t="shared" si="14"/>
        <v>1</v>
      </c>
      <c r="O230" t="str">
        <f t="shared" si="15"/>
        <v>Low</v>
      </c>
    </row>
    <row r="231" spans="1:15" x14ac:dyDescent="0.2">
      <c r="A231" t="s">
        <v>271</v>
      </c>
      <c r="B231" s="1">
        <v>46153</v>
      </c>
      <c r="C231" t="s">
        <v>37</v>
      </c>
      <c r="D231" t="s">
        <v>13</v>
      </c>
      <c r="E231" t="s">
        <v>14</v>
      </c>
      <c r="F231" t="s">
        <v>15</v>
      </c>
      <c r="G231" t="s">
        <v>16</v>
      </c>
      <c r="H231" s="1">
        <v>46154</v>
      </c>
      <c r="I231" s="1">
        <v>46154</v>
      </c>
      <c r="J231" t="s">
        <v>17</v>
      </c>
      <c r="K231">
        <v>32</v>
      </c>
      <c r="L231" s="2">
        <f t="shared" si="12"/>
        <v>0</v>
      </c>
      <c r="M231" t="str">
        <f t="shared" si="13"/>
        <v>Met</v>
      </c>
      <c r="N231">
        <f t="shared" si="14"/>
        <v>1</v>
      </c>
      <c r="O231" t="str">
        <f t="shared" si="15"/>
        <v>Low</v>
      </c>
    </row>
    <row r="232" spans="1:15" x14ac:dyDescent="0.2">
      <c r="A232" t="s">
        <v>272</v>
      </c>
      <c r="B232" s="1">
        <v>46153</v>
      </c>
      <c r="C232" t="s">
        <v>33</v>
      </c>
      <c r="D232" t="s">
        <v>46</v>
      </c>
      <c r="E232" t="s">
        <v>14</v>
      </c>
      <c r="F232" t="s">
        <v>35</v>
      </c>
      <c r="G232" t="s">
        <v>16</v>
      </c>
      <c r="H232" s="1">
        <v>46154</v>
      </c>
      <c r="I232" s="1">
        <v>46153</v>
      </c>
      <c r="J232" t="s">
        <v>17</v>
      </c>
      <c r="K232">
        <v>8</v>
      </c>
      <c r="L232" s="2">
        <f t="shared" si="12"/>
        <v>-1</v>
      </c>
      <c r="M232" t="str">
        <f t="shared" si="13"/>
        <v>Met</v>
      </c>
      <c r="N232">
        <f t="shared" si="14"/>
        <v>1</v>
      </c>
      <c r="O232" t="str">
        <f t="shared" si="15"/>
        <v>Low</v>
      </c>
    </row>
    <row r="233" spans="1:15" x14ac:dyDescent="0.2">
      <c r="A233" t="s">
        <v>273</v>
      </c>
      <c r="B233" s="1">
        <v>46153</v>
      </c>
      <c r="C233" t="s">
        <v>24</v>
      </c>
      <c r="D233" t="s">
        <v>54</v>
      </c>
      <c r="E233" t="s">
        <v>14</v>
      </c>
      <c r="F233" t="s">
        <v>31</v>
      </c>
      <c r="G233" t="s">
        <v>22</v>
      </c>
      <c r="H233" s="1">
        <v>46155</v>
      </c>
      <c r="I233" s="1">
        <v>46157</v>
      </c>
      <c r="J233" t="s">
        <v>42</v>
      </c>
      <c r="K233">
        <v>34</v>
      </c>
      <c r="L233" s="2">
        <f t="shared" si="12"/>
        <v>2</v>
      </c>
      <c r="M233" t="str">
        <f t="shared" si="13"/>
        <v>Breached</v>
      </c>
      <c r="N233">
        <f t="shared" si="14"/>
        <v>0</v>
      </c>
      <c r="O233" t="str">
        <f t="shared" si="15"/>
        <v>Medium</v>
      </c>
    </row>
    <row r="234" spans="1:15" x14ac:dyDescent="0.2">
      <c r="A234" t="s">
        <v>274</v>
      </c>
      <c r="B234" s="1">
        <v>46153</v>
      </c>
      <c r="C234" t="s">
        <v>24</v>
      </c>
      <c r="D234" t="s">
        <v>67</v>
      </c>
      <c r="E234" t="s">
        <v>14</v>
      </c>
      <c r="F234" t="s">
        <v>21</v>
      </c>
      <c r="G234" t="s">
        <v>16</v>
      </c>
      <c r="H234" s="1">
        <v>46154</v>
      </c>
      <c r="I234" s="1">
        <v>46154</v>
      </c>
      <c r="J234" t="s">
        <v>17</v>
      </c>
      <c r="K234">
        <v>6</v>
      </c>
      <c r="L234" s="2">
        <f t="shared" si="12"/>
        <v>0</v>
      </c>
      <c r="M234" t="str">
        <f t="shared" si="13"/>
        <v>Met</v>
      </c>
      <c r="N234">
        <f t="shared" si="14"/>
        <v>1</v>
      </c>
      <c r="O234" t="str">
        <f t="shared" si="15"/>
        <v>Low</v>
      </c>
    </row>
    <row r="235" spans="1:15" x14ac:dyDescent="0.2">
      <c r="A235" t="s">
        <v>275</v>
      </c>
      <c r="B235" s="1">
        <v>46153</v>
      </c>
      <c r="C235" t="s">
        <v>12</v>
      </c>
      <c r="D235" t="s">
        <v>49</v>
      </c>
      <c r="E235" t="s">
        <v>26</v>
      </c>
      <c r="F235" t="s">
        <v>15</v>
      </c>
      <c r="G235" t="s">
        <v>14</v>
      </c>
      <c r="H235" s="1">
        <v>46156</v>
      </c>
      <c r="I235" s="1">
        <v>46156</v>
      </c>
      <c r="J235" t="s">
        <v>17</v>
      </c>
      <c r="K235">
        <v>35</v>
      </c>
      <c r="L235" s="2">
        <f t="shared" si="12"/>
        <v>0</v>
      </c>
      <c r="M235" t="str">
        <f t="shared" si="13"/>
        <v>Met</v>
      </c>
      <c r="N235">
        <f t="shared" si="14"/>
        <v>1</v>
      </c>
      <c r="O235" t="str">
        <f t="shared" si="15"/>
        <v>Low</v>
      </c>
    </row>
    <row r="236" spans="1:15" x14ac:dyDescent="0.2">
      <c r="A236" t="s">
        <v>276</v>
      </c>
      <c r="B236" s="1">
        <v>46154</v>
      </c>
      <c r="C236" t="s">
        <v>37</v>
      </c>
      <c r="D236" t="s">
        <v>34</v>
      </c>
      <c r="E236" t="s">
        <v>14</v>
      </c>
      <c r="F236" t="s">
        <v>15</v>
      </c>
      <c r="G236" t="s">
        <v>16</v>
      </c>
      <c r="H236" s="1">
        <v>46155</v>
      </c>
      <c r="I236" s="1">
        <v>46155</v>
      </c>
      <c r="J236" t="s">
        <v>17</v>
      </c>
      <c r="K236">
        <v>6</v>
      </c>
      <c r="L236" s="2">
        <f t="shared" si="12"/>
        <v>0</v>
      </c>
      <c r="M236" t="str">
        <f t="shared" si="13"/>
        <v>Met</v>
      </c>
      <c r="N236">
        <f t="shared" si="14"/>
        <v>1</v>
      </c>
      <c r="O236" t="str">
        <f t="shared" si="15"/>
        <v>Low</v>
      </c>
    </row>
    <row r="237" spans="1:15" x14ac:dyDescent="0.2">
      <c r="A237" t="s">
        <v>277</v>
      </c>
      <c r="B237" s="1">
        <v>46154</v>
      </c>
      <c r="C237" t="s">
        <v>37</v>
      </c>
      <c r="D237" t="s">
        <v>46</v>
      </c>
      <c r="E237" t="s">
        <v>14</v>
      </c>
      <c r="F237" t="s">
        <v>75</v>
      </c>
      <c r="G237" t="s">
        <v>22</v>
      </c>
      <c r="H237" s="1">
        <v>46156</v>
      </c>
      <c r="I237" s="1">
        <v>46156</v>
      </c>
      <c r="J237" t="s">
        <v>17</v>
      </c>
      <c r="K237">
        <v>14</v>
      </c>
      <c r="L237" s="2">
        <f t="shared" si="12"/>
        <v>0</v>
      </c>
      <c r="M237" t="str">
        <f t="shared" si="13"/>
        <v>Met</v>
      </c>
      <c r="N237">
        <f t="shared" si="14"/>
        <v>1</v>
      </c>
      <c r="O237" t="str">
        <f t="shared" si="15"/>
        <v>Low</v>
      </c>
    </row>
    <row r="238" spans="1:15" x14ac:dyDescent="0.2">
      <c r="A238" t="s">
        <v>278</v>
      </c>
      <c r="B238" s="1">
        <v>46154</v>
      </c>
      <c r="C238" t="s">
        <v>37</v>
      </c>
      <c r="D238" t="s">
        <v>46</v>
      </c>
      <c r="E238" t="s">
        <v>14</v>
      </c>
      <c r="F238" t="s">
        <v>29</v>
      </c>
      <c r="G238" t="s">
        <v>14</v>
      </c>
      <c r="H238" s="1">
        <v>46157</v>
      </c>
      <c r="I238" s="1">
        <v>46157</v>
      </c>
      <c r="J238" t="s">
        <v>17</v>
      </c>
      <c r="K238">
        <v>4</v>
      </c>
      <c r="L238" s="2">
        <f t="shared" si="12"/>
        <v>0</v>
      </c>
      <c r="M238" t="str">
        <f t="shared" si="13"/>
        <v>Met</v>
      </c>
      <c r="N238">
        <f t="shared" si="14"/>
        <v>1</v>
      </c>
      <c r="O238" t="str">
        <f t="shared" si="15"/>
        <v>Low</v>
      </c>
    </row>
    <row r="239" spans="1:15" x14ac:dyDescent="0.2">
      <c r="A239" t="s">
        <v>279</v>
      </c>
      <c r="B239" s="1">
        <v>46154</v>
      </c>
      <c r="C239" t="s">
        <v>48</v>
      </c>
      <c r="D239" t="s">
        <v>46</v>
      </c>
      <c r="E239" t="s">
        <v>14</v>
      </c>
      <c r="F239" t="s">
        <v>75</v>
      </c>
      <c r="G239" t="s">
        <v>22</v>
      </c>
      <c r="H239" s="1">
        <v>46156</v>
      </c>
      <c r="I239" s="1">
        <v>46156</v>
      </c>
      <c r="J239" t="s">
        <v>17</v>
      </c>
      <c r="K239">
        <v>34</v>
      </c>
      <c r="L239" s="2">
        <f t="shared" si="12"/>
        <v>0</v>
      </c>
      <c r="M239" t="str">
        <f t="shared" si="13"/>
        <v>Met</v>
      </c>
      <c r="N239">
        <f t="shared" si="14"/>
        <v>1</v>
      </c>
      <c r="O239" t="str">
        <f t="shared" si="15"/>
        <v>Low</v>
      </c>
    </row>
    <row r="240" spans="1:15" x14ac:dyDescent="0.2">
      <c r="A240" t="s">
        <v>280</v>
      </c>
      <c r="B240" s="1">
        <v>46154</v>
      </c>
      <c r="C240" t="s">
        <v>48</v>
      </c>
      <c r="D240" t="s">
        <v>13</v>
      </c>
      <c r="E240" t="s">
        <v>14</v>
      </c>
      <c r="F240" t="s">
        <v>31</v>
      </c>
      <c r="G240" t="s">
        <v>14</v>
      </c>
      <c r="H240" s="1">
        <v>46157</v>
      </c>
      <c r="I240" s="1">
        <v>46157</v>
      </c>
      <c r="J240" t="s">
        <v>17</v>
      </c>
      <c r="K240">
        <v>39</v>
      </c>
      <c r="L240" s="2">
        <f t="shared" si="12"/>
        <v>0</v>
      </c>
      <c r="M240" t="str">
        <f t="shared" si="13"/>
        <v>Met</v>
      </c>
      <c r="N240">
        <f t="shared" si="14"/>
        <v>1</v>
      </c>
      <c r="O240" t="str">
        <f t="shared" si="15"/>
        <v>Low</v>
      </c>
    </row>
    <row r="241" spans="1:15" x14ac:dyDescent="0.2">
      <c r="A241" t="s">
        <v>281</v>
      </c>
      <c r="B241" s="1">
        <v>46154</v>
      </c>
      <c r="C241" t="s">
        <v>48</v>
      </c>
      <c r="D241" t="s">
        <v>39</v>
      </c>
      <c r="E241" t="s">
        <v>26</v>
      </c>
      <c r="F241" t="s">
        <v>35</v>
      </c>
      <c r="G241" t="s">
        <v>14</v>
      </c>
      <c r="H241" s="1">
        <v>46157</v>
      </c>
      <c r="I241" s="1">
        <v>46156</v>
      </c>
      <c r="J241" t="s">
        <v>17</v>
      </c>
      <c r="K241">
        <v>30</v>
      </c>
      <c r="L241" s="2">
        <f t="shared" si="12"/>
        <v>-1</v>
      </c>
      <c r="M241" t="str">
        <f t="shared" si="13"/>
        <v>Met</v>
      </c>
      <c r="N241">
        <f t="shared" si="14"/>
        <v>1</v>
      </c>
      <c r="O241" t="str">
        <f t="shared" si="15"/>
        <v>Low</v>
      </c>
    </row>
    <row r="242" spans="1:15" x14ac:dyDescent="0.2">
      <c r="A242" t="s">
        <v>282</v>
      </c>
      <c r="B242" s="1">
        <v>46154</v>
      </c>
      <c r="C242" t="s">
        <v>37</v>
      </c>
      <c r="D242" t="s">
        <v>34</v>
      </c>
      <c r="E242" t="s">
        <v>14</v>
      </c>
      <c r="F242" t="s">
        <v>75</v>
      </c>
      <c r="G242" t="s">
        <v>22</v>
      </c>
      <c r="H242" s="1">
        <v>46156</v>
      </c>
      <c r="I242" s="1">
        <v>46156</v>
      </c>
      <c r="J242" t="s">
        <v>17</v>
      </c>
      <c r="K242">
        <v>10</v>
      </c>
      <c r="L242" s="2">
        <f t="shared" si="12"/>
        <v>0</v>
      </c>
      <c r="M242" t="str">
        <f t="shared" si="13"/>
        <v>Met</v>
      </c>
      <c r="N242">
        <f t="shared" si="14"/>
        <v>1</v>
      </c>
      <c r="O242" t="str">
        <f t="shared" si="15"/>
        <v>Low</v>
      </c>
    </row>
    <row r="243" spans="1:15" x14ac:dyDescent="0.2">
      <c r="A243" t="s">
        <v>283</v>
      </c>
      <c r="B243" s="1">
        <v>46155</v>
      </c>
      <c r="C243" t="s">
        <v>12</v>
      </c>
      <c r="D243" t="s">
        <v>46</v>
      </c>
      <c r="E243" t="s">
        <v>14</v>
      </c>
      <c r="F243" t="s">
        <v>15</v>
      </c>
      <c r="G243" t="s">
        <v>14</v>
      </c>
      <c r="H243" s="1">
        <v>46158</v>
      </c>
      <c r="I243" s="1">
        <v>46158</v>
      </c>
      <c r="J243" t="s">
        <v>17</v>
      </c>
      <c r="K243">
        <v>39</v>
      </c>
      <c r="L243" s="2">
        <f t="shared" si="12"/>
        <v>0</v>
      </c>
      <c r="M243" t="str">
        <f t="shared" si="13"/>
        <v>Met</v>
      </c>
      <c r="N243">
        <f t="shared" si="14"/>
        <v>1</v>
      </c>
      <c r="O243" t="str">
        <f t="shared" si="15"/>
        <v>Low</v>
      </c>
    </row>
    <row r="244" spans="1:15" x14ac:dyDescent="0.2">
      <c r="A244" t="s">
        <v>284</v>
      </c>
      <c r="B244" s="1">
        <v>46155</v>
      </c>
      <c r="C244" t="s">
        <v>12</v>
      </c>
      <c r="D244" t="s">
        <v>28</v>
      </c>
      <c r="E244" t="s">
        <v>26</v>
      </c>
      <c r="F244" t="s">
        <v>31</v>
      </c>
      <c r="G244" t="s">
        <v>16</v>
      </c>
      <c r="H244" s="1">
        <v>46156</v>
      </c>
      <c r="I244" s="1">
        <v>46156</v>
      </c>
      <c r="J244" t="s">
        <v>17</v>
      </c>
      <c r="K244">
        <v>22</v>
      </c>
      <c r="L244" s="2">
        <f t="shared" si="12"/>
        <v>0</v>
      </c>
      <c r="M244" t="str">
        <f t="shared" si="13"/>
        <v>Met</v>
      </c>
      <c r="N244">
        <f t="shared" si="14"/>
        <v>1</v>
      </c>
      <c r="O244" t="str">
        <f t="shared" si="15"/>
        <v>Low</v>
      </c>
    </row>
    <row r="245" spans="1:15" x14ac:dyDescent="0.2">
      <c r="A245" t="s">
        <v>285</v>
      </c>
      <c r="B245" s="1">
        <v>46156</v>
      </c>
      <c r="C245" t="s">
        <v>33</v>
      </c>
      <c r="D245" t="s">
        <v>67</v>
      </c>
      <c r="E245" t="s">
        <v>14</v>
      </c>
      <c r="F245" t="s">
        <v>15</v>
      </c>
      <c r="G245" t="s">
        <v>14</v>
      </c>
      <c r="H245" s="1">
        <v>46159</v>
      </c>
      <c r="I245" s="1">
        <v>46159</v>
      </c>
      <c r="J245" t="s">
        <v>17</v>
      </c>
      <c r="K245">
        <v>39</v>
      </c>
      <c r="L245" s="2">
        <f t="shared" si="12"/>
        <v>0</v>
      </c>
      <c r="M245" t="str">
        <f t="shared" si="13"/>
        <v>Met</v>
      </c>
      <c r="N245">
        <f t="shared" si="14"/>
        <v>1</v>
      </c>
      <c r="O245" t="str">
        <f t="shared" si="15"/>
        <v>Low</v>
      </c>
    </row>
    <row r="246" spans="1:15" x14ac:dyDescent="0.2">
      <c r="A246" t="s">
        <v>286</v>
      </c>
      <c r="B246" s="1">
        <v>46156</v>
      </c>
      <c r="C246" t="s">
        <v>12</v>
      </c>
      <c r="D246" t="s">
        <v>49</v>
      </c>
      <c r="E246" t="s">
        <v>26</v>
      </c>
      <c r="F246" t="s">
        <v>21</v>
      </c>
      <c r="G246" t="s">
        <v>22</v>
      </c>
      <c r="H246" s="1">
        <v>46158</v>
      </c>
      <c r="I246" s="1">
        <v>46158</v>
      </c>
      <c r="J246" t="s">
        <v>17</v>
      </c>
      <c r="K246">
        <v>30</v>
      </c>
      <c r="L246" s="2">
        <f t="shared" si="12"/>
        <v>0</v>
      </c>
      <c r="M246" t="str">
        <f t="shared" si="13"/>
        <v>Met</v>
      </c>
      <c r="N246">
        <f t="shared" si="14"/>
        <v>1</v>
      </c>
      <c r="O246" t="str">
        <f t="shared" si="15"/>
        <v>Low</v>
      </c>
    </row>
    <row r="247" spans="1:15" x14ac:dyDescent="0.2">
      <c r="A247" t="s">
        <v>287</v>
      </c>
      <c r="B247" s="1">
        <v>46156</v>
      </c>
      <c r="C247" t="s">
        <v>24</v>
      </c>
      <c r="D247" t="s">
        <v>46</v>
      </c>
      <c r="E247" t="s">
        <v>14</v>
      </c>
      <c r="F247" t="s">
        <v>29</v>
      </c>
      <c r="G247" t="s">
        <v>22</v>
      </c>
      <c r="H247" s="1">
        <v>46158</v>
      </c>
      <c r="I247" s="1">
        <v>46158</v>
      </c>
      <c r="J247" t="s">
        <v>17</v>
      </c>
      <c r="K247">
        <v>2</v>
      </c>
      <c r="L247" s="2">
        <f t="shared" si="12"/>
        <v>0</v>
      </c>
      <c r="M247" t="str">
        <f t="shared" si="13"/>
        <v>Met</v>
      </c>
      <c r="N247">
        <f t="shared" si="14"/>
        <v>1</v>
      </c>
      <c r="O247" t="str">
        <f t="shared" si="15"/>
        <v>Low</v>
      </c>
    </row>
    <row r="248" spans="1:15" x14ac:dyDescent="0.2">
      <c r="A248" t="s">
        <v>288</v>
      </c>
      <c r="B248" s="1">
        <v>46156</v>
      </c>
      <c r="C248" t="s">
        <v>48</v>
      </c>
      <c r="D248" t="s">
        <v>28</v>
      </c>
      <c r="E248" t="s">
        <v>26</v>
      </c>
      <c r="F248" t="s">
        <v>15</v>
      </c>
      <c r="G248" t="s">
        <v>14</v>
      </c>
      <c r="H248" s="1">
        <v>46159</v>
      </c>
      <c r="I248" s="1">
        <v>46159</v>
      </c>
      <c r="J248" t="s">
        <v>17</v>
      </c>
      <c r="K248">
        <v>15</v>
      </c>
      <c r="L248" s="2">
        <f t="shared" si="12"/>
        <v>0</v>
      </c>
      <c r="M248" t="str">
        <f t="shared" si="13"/>
        <v>Met</v>
      </c>
      <c r="N248">
        <f t="shared" si="14"/>
        <v>1</v>
      </c>
      <c r="O248" t="str">
        <f t="shared" si="15"/>
        <v>Low</v>
      </c>
    </row>
    <row r="249" spans="1:15" x14ac:dyDescent="0.2">
      <c r="A249" t="s">
        <v>289</v>
      </c>
      <c r="B249" s="1">
        <v>46156</v>
      </c>
      <c r="C249" t="s">
        <v>33</v>
      </c>
      <c r="D249" t="s">
        <v>67</v>
      </c>
      <c r="E249" t="s">
        <v>14</v>
      </c>
      <c r="F249" t="s">
        <v>21</v>
      </c>
      <c r="G249" t="s">
        <v>22</v>
      </c>
      <c r="H249" s="1">
        <v>46158</v>
      </c>
      <c r="I249" s="1">
        <v>46158</v>
      </c>
      <c r="J249" t="s">
        <v>17</v>
      </c>
      <c r="K249">
        <v>5</v>
      </c>
      <c r="L249" s="2">
        <f t="shared" si="12"/>
        <v>0</v>
      </c>
      <c r="M249" t="str">
        <f t="shared" si="13"/>
        <v>Met</v>
      </c>
      <c r="N249">
        <f t="shared" si="14"/>
        <v>1</v>
      </c>
      <c r="O249" t="str">
        <f t="shared" si="15"/>
        <v>Low</v>
      </c>
    </row>
    <row r="250" spans="1:15" x14ac:dyDescent="0.2">
      <c r="A250" t="s">
        <v>290</v>
      </c>
      <c r="B250" s="1">
        <v>46157</v>
      </c>
      <c r="C250" t="s">
        <v>37</v>
      </c>
      <c r="D250" t="s">
        <v>41</v>
      </c>
      <c r="E250" t="s">
        <v>14</v>
      </c>
      <c r="F250" t="s">
        <v>29</v>
      </c>
      <c r="G250" t="s">
        <v>22</v>
      </c>
      <c r="H250" s="1">
        <v>46159</v>
      </c>
      <c r="I250" s="1">
        <v>46162</v>
      </c>
      <c r="J250" t="s">
        <v>42</v>
      </c>
      <c r="K250">
        <v>38</v>
      </c>
      <c r="L250" s="2">
        <f t="shared" si="12"/>
        <v>3</v>
      </c>
      <c r="M250" t="str">
        <f t="shared" si="13"/>
        <v>Breached</v>
      </c>
      <c r="N250">
        <f t="shared" si="14"/>
        <v>0</v>
      </c>
      <c r="O250" t="str">
        <f t="shared" si="15"/>
        <v>Medium</v>
      </c>
    </row>
    <row r="251" spans="1:15" x14ac:dyDescent="0.2">
      <c r="A251" t="s">
        <v>291</v>
      </c>
      <c r="B251" s="1">
        <v>46157</v>
      </c>
      <c r="C251" t="s">
        <v>48</v>
      </c>
      <c r="D251" t="s">
        <v>28</v>
      </c>
      <c r="E251" t="s">
        <v>26</v>
      </c>
      <c r="F251" t="s">
        <v>31</v>
      </c>
      <c r="G251" t="s">
        <v>16</v>
      </c>
      <c r="H251" s="1">
        <v>46158</v>
      </c>
      <c r="I251" s="1">
        <v>46158</v>
      </c>
      <c r="J251" t="s">
        <v>17</v>
      </c>
      <c r="K251">
        <v>35</v>
      </c>
      <c r="L251" s="2">
        <f t="shared" si="12"/>
        <v>0</v>
      </c>
      <c r="M251" t="str">
        <f t="shared" si="13"/>
        <v>Met</v>
      </c>
      <c r="N251">
        <f t="shared" si="14"/>
        <v>1</v>
      </c>
      <c r="O251" t="str">
        <f t="shared" si="15"/>
        <v>Low</v>
      </c>
    </row>
    <row r="252" spans="1:15" x14ac:dyDescent="0.2">
      <c r="A252" t="s">
        <v>292</v>
      </c>
      <c r="B252" s="1">
        <v>46157</v>
      </c>
      <c r="C252" t="s">
        <v>33</v>
      </c>
      <c r="D252" t="s">
        <v>67</v>
      </c>
      <c r="E252" t="s">
        <v>14</v>
      </c>
      <c r="F252" t="s">
        <v>31</v>
      </c>
      <c r="G252" t="s">
        <v>16</v>
      </c>
      <c r="H252" s="1">
        <v>46158</v>
      </c>
      <c r="I252" s="1">
        <v>46158</v>
      </c>
      <c r="J252" t="s">
        <v>17</v>
      </c>
      <c r="K252">
        <v>30</v>
      </c>
      <c r="L252" s="2">
        <f t="shared" si="12"/>
        <v>0</v>
      </c>
      <c r="M252" t="str">
        <f t="shared" si="13"/>
        <v>Met</v>
      </c>
      <c r="N252">
        <f t="shared" si="14"/>
        <v>1</v>
      </c>
      <c r="O252" t="str">
        <f t="shared" si="15"/>
        <v>Low</v>
      </c>
    </row>
    <row r="253" spans="1:15" x14ac:dyDescent="0.2">
      <c r="A253" t="s">
        <v>293</v>
      </c>
      <c r="B253" s="1">
        <v>46157</v>
      </c>
      <c r="C253" t="s">
        <v>12</v>
      </c>
      <c r="D253" t="s">
        <v>41</v>
      </c>
      <c r="E253" t="s">
        <v>14</v>
      </c>
      <c r="F253" t="s">
        <v>75</v>
      </c>
      <c r="G253" t="s">
        <v>16</v>
      </c>
      <c r="H253" s="1">
        <v>46158</v>
      </c>
      <c r="I253" s="1">
        <v>46158</v>
      </c>
      <c r="J253" t="s">
        <v>17</v>
      </c>
      <c r="K253">
        <v>25</v>
      </c>
      <c r="L253" s="2">
        <f t="shared" si="12"/>
        <v>0</v>
      </c>
      <c r="M253" t="str">
        <f t="shared" si="13"/>
        <v>Met</v>
      </c>
      <c r="N253">
        <f t="shared" si="14"/>
        <v>1</v>
      </c>
      <c r="O253" t="str">
        <f t="shared" si="15"/>
        <v>Low</v>
      </c>
    </row>
    <row r="254" spans="1:15" x14ac:dyDescent="0.2">
      <c r="A254" t="s">
        <v>294</v>
      </c>
      <c r="B254" s="1">
        <v>46157</v>
      </c>
      <c r="C254" t="s">
        <v>48</v>
      </c>
      <c r="D254" t="s">
        <v>41</v>
      </c>
      <c r="E254" t="s">
        <v>14</v>
      </c>
      <c r="F254" t="s">
        <v>75</v>
      </c>
      <c r="G254" t="s">
        <v>22</v>
      </c>
      <c r="H254" s="1">
        <v>46159</v>
      </c>
      <c r="I254" s="1">
        <v>46159</v>
      </c>
      <c r="J254" t="s">
        <v>17</v>
      </c>
      <c r="K254">
        <v>22</v>
      </c>
      <c r="L254" s="2">
        <f t="shared" si="12"/>
        <v>0</v>
      </c>
      <c r="M254" t="str">
        <f t="shared" si="13"/>
        <v>Met</v>
      </c>
      <c r="N254">
        <f t="shared" si="14"/>
        <v>1</v>
      </c>
      <c r="O254" t="str">
        <f t="shared" si="15"/>
        <v>Low</v>
      </c>
    </row>
    <row r="255" spans="1:15" x14ac:dyDescent="0.2">
      <c r="A255" t="s">
        <v>295</v>
      </c>
      <c r="B255" s="1">
        <v>46157</v>
      </c>
      <c r="C255" t="s">
        <v>19</v>
      </c>
      <c r="D255" t="s">
        <v>39</v>
      </c>
      <c r="E255" t="s">
        <v>26</v>
      </c>
      <c r="F255" t="s">
        <v>31</v>
      </c>
      <c r="G255" t="s">
        <v>16</v>
      </c>
      <c r="H255" s="1">
        <v>46158</v>
      </c>
      <c r="I255" s="1">
        <v>46158</v>
      </c>
      <c r="J255" t="s">
        <v>17</v>
      </c>
      <c r="K255">
        <v>4</v>
      </c>
      <c r="L255" s="2">
        <f t="shared" si="12"/>
        <v>0</v>
      </c>
      <c r="M255" t="str">
        <f t="shared" si="13"/>
        <v>Met</v>
      </c>
      <c r="N255">
        <f t="shared" si="14"/>
        <v>1</v>
      </c>
      <c r="O255" t="str">
        <f t="shared" si="15"/>
        <v>Low</v>
      </c>
    </row>
    <row r="256" spans="1:15" x14ac:dyDescent="0.2">
      <c r="A256" t="s">
        <v>296</v>
      </c>
      <c r="B256" s="1">
        <v>46158</v>
      </c>
      <c r="C256" t="s">
        <v>37</v>
      </c>
      <c r="D256" t="s">
        <v>41</v>
      </c>
      <c r="E256" t="s">
        <v>14</v>
      </c>
      <c r="F256" t="s">
        <v>75</v>
      </c>
      <c r="G256" t="s">
        <v>22</v>
      </c>
      <c r="H256" s="1">
        <v>46160</v>
      </c>
      <c r="I256" s="1">
        <v>46160</v>
      </c>
      <c r="J256" t="s">
        <v>17</v>
      </c>
      <c r="K256">
        <v>32</v>
      </c>
      <c r="L256" s="2">
        <f t="shared" si="12"/>
        <v>0</v>
      </c>
      <c r="M256" t="str">
        <f t="shared" si="13"/>
        <v>Met</v>
      </c>
      <c r="N256">
        <f t="shared" si="14"/>
        <v>1</v>
      </c>
      <c r="O256" t="str">
        <f t="shared" si="15"/>
        <v>Low</v>
      </c>
    </row>
    <row r="257" spans="1:15" x14ac:dyDescent="0.2">
      <c r="A257" t="s">
        <v>297</v>
      </c>
      <c r="B257" s="1">
        <v>46159</v>
      </c>
      <c r="C257" t="s">
        <v>48</v>
      </c>
      <c r="D257" t="s">
        <v>41</v>
      </c>
      <c r="E257" t="s">
        <v>14</v>
      </c>
      <c r="F257" t="s">
        <v>31</v>
      </c>
      <c r="G257" t="s">
        <v>22</v>
      </c>
      <c r="H257" s="1">
        <v>46161</v>
      </c>
      <c r="I257" s="1">
        <v>46161</v>
      </c>
      <c r="J257" t="s">
        <v>17</v>
      </c>
      <c r="K257">
        <v>19</v>
      </c>
      <c r="L257" s="2">
        <f t="shared" si="12"/>
        <v>0</v>
      </c>
      <c r="M257" t="str">
        <f t="shared" si="13"/>
        <v>Met</v>
      </c>
      <c r="N257">
        <f t="shared" si="14"/>
        <v>1</v>
      </c>
      <c r="O257" t="str">
        <f t="shared" si="15"/>
        <v>Low</v>
      </c>
    </row>
    <row r="258" spans="1:15" x14ac:dyDescent="0.2">
      <c r="A258" t="s">
        <v>298</v>
      </c>
      <c r="B258" s="1">
        <v>46160</v>
      </c>
      <c r="C258" t="s">
        <v>12</v>
      </c>
      <c r="D258" t="s">
        <v>13</v>
      </c>
      <c r="E258" t="s">
        <v>14</v>
      </c>
      <c r="F258" t="s">
        <v>31</v>
      </c>
      <c r="G258" t="s">
        <v>14</v>
      </c>
      <c r="H258" s="1">
        <v>46163</v>
      </c>
      <c r="I258" s="1">
        <v>46163</v>
      </c>
      <c r="J258" t="s">
        <v>17</v>
      </c>
      <c r="K258">
        <v>35</v>
      </c>
      <c r="L258" s="2">
        <f t="shared" ref="L258:L321" si="16">I258-H258</f>
        <v>0</v>
      </c>
      <c r="M258" t="str">
        <f t="shared" ref="M258:M321" si="17">IF(I258&lt;=H258, "Met", "Breached")</f>
        <v>Met</v>
      </c>
      <c r="N258">
        <f t="shared" ref="N258:N321" si="18">IF(M258="Met", 1,0)</f>
        <v>1</v>
      </c>
      <c r="O258" t="str">
        <f t="shared" ref="O258:O321" si="19">IF(AND(E258="VIP", M258="Breached"), "High", IF(M258="Breached","Medium", "Low"))</f>
        <v>Low</v>
      </c>
    </row>
    <row r="259" spans="1:15" x14ac:dyDescent="0.2">
      <c r="A259" t="s">
        <v>299</v>
      </c>
      <c r="B259" s="1">
        <v>46160</v>
      </c>
      <c r="C259" t="s">
        <v>24</v>
      </c>
      <c r="D259" t="s">
        <v>13</v>
      </c>
      <c r="E259" t="s">
        <v>14</v>
      </c>
      <c r="F259" t="s">
        <v>21</v>
      </c>
      <c r="G259" t="s">
        <v>14</v>
      </c>
      <c r="H259" s="1">
        <v>46163</v>
      </c>
      <c r="I259" s="1">
        <v>46163</v>
      </c>
      <c r="J259" t="s">
        <v>17</v>
      </c>
      <c r="K259">
        <v>29</v>
      </c>
      <c r="L259" s="2">
        <f t="shared" si="16"/>
        <v>0</v>
      </c>
      <c r="M259" t="str">
        <f t="shared" si="17"/>
        <v>Met</v>
      </c>
      <c r="N259">
        <f t="shared" si="18"/>
        <v>1</v>
      </c>
      <c r="O259" t="str">
        <f t="shared" si="19"/>
        <v>Low</v>
      </c>
    </row>
    <row r="260" spans="1:15" x14ac:dyDescent="0.2">
      <c r="A260" t="s">
        <v>300</v>
      </c>
      <c r="B260" s="1">
        <v>46160</v>
      </c>
      <c r="C260" t="s">
        <v>48</v>
      </c>
      <c r="D260" t="s">
        <v>49</v>
      </c>
      <c r="E260" t="s">
        <v>26</v>
      </c>
      <c r="F260" t="s">
        <v>21</v>
      </c>
      <c r="G260" t="s">
        <v>16</v>
      </c>
      <c r="H260" s="1">
        <v>46161</v>
      </c>
      <c r="I260" s="1">
        <v>46161</v>
      </c>
      <c r="J260" t="s">
        <v>17</v>
      </c>
      <c r="K260">
        <v>27</v>
      </c>
      <c r="L260" s="2">
        <f t="shared" si="16"/>
        <v>0</v>
      </c>
      <c r="M260" t="str">
        <f t="shared" si="17"/>
        <v>Met</v>
      </c>
      <c r="N260">
        <f t="shared" si="18"/>
        <v>1</v>
      </c>
      <c r="O260" t="str">
        <f t="shared" si="19"/>
        <v>Low</v>
      </c>
    </row>
    <row r="261" spans="1:15" x14ac:dyDescent="0.2">
      <c r="A261" t="s">
        <v>301</v>
      </c>
      <c r="B261" s="1">
        <v>46160</v>
      </c>
      <c r="C261" t="s">
        <v>37</v>
      </c>
      <c r="D261" t="s">
        <v>54</v>
      </c>
      <c r="E261" t="s">
        <v>14</v>
      </c>
      <c r="F261" t="s">
        <v>29</v>
      </c>
      <c r="G261" t="s">
        <v>16</v>
      </c>
      <c r="H261" s="1">
        <v>46161</v>
      </c>
      <c r="I261" s="1">
        <v>46161</v>
      </c>
      <c r="J261" t="s">
        <v>17</v>
      </c>
      <c r="K261">
        <v>38</v>
      </c>
      <c r="L261" s="2">
        <f t="shared" si="16"/>
        <v>0</v>
      </c>
      <c r="M261" t="str">
        <f t="shared" si="17"/>
        <v>Met</v>
      </c>
      <c r="N261">
        <f t="shared" si="18"/>
        <v>1</v>
      </c>
      <c r="O261" t="str">
        <f t="shared" si="19"/>
        <v>Low</v>
      </c>
    </row>
    <row r="262" spans="1:15" x14ac:dyDescent="0.2">
      <c r="A262" t="s">
        <v>302</v>
      </c>
      <c r="B262" s="1">
        <v>46160</v>
      </c>
      <c r="C262" t="s">
        <v>19</v>
      </c>
      <c r="D262" t="s">
        <v>25</v>
      </c>
      <c r="E262" t="s">
        <v>26</v>
      </c>
      <c r="F262" t="s">
        <v>35</v>
      </c>
      <c r="G262" t="s">
        <v>16</v>
      </c>
      <c r="H262" s="1">
        <v>46161</v>
      </c>
      <c r="I262" s="1">
        <v>46161</v>
      </c>
      <c r="J262" t="s">
        <v>17</v>
      </c>
      <c r="K262">
        <v>35</v>
      </c>
      <c r="L262" s="2">
        <f t="shared" si="16"/>
        <v>0</v>
      </c>
      <c r="M262" t="str">
        <f t="shared" si="17"/>
        <v>Met</v>
      </c>
      <c r="N262">
        <f t="shared" si="18"/>
        <v>1</v>
      </c>
      <c r="O262" t="str">
        <f t="shared" si="19"/>
        <v>Low</v>
      </c>
    </row>
    <row r="263" spans="1:15" x14ac:dyDescent="0.2">
      <c r="A263" t="s">
        <v>303</v>
      </c>
      <c r="B263" s="1">
        <v>46160</v>
      </c>
      <c r="C263" t="s">
        <v>24</v>
      </c>
      <c r="D263" t="s">
        <v>28</v>
      </c>
      <c r="E263" t="s">
        <v>26</v>
      </c>
      <c r="F263" t="s">
        <v>35</v>
      </c>
      <c r="G263" t="s">
        <v>22</v>
      </c>
      <c r="H263" s="1">
        <v>46162</v>
      </c>
      <c r="I263" s="1">
        <v>46162</v>
      </c>
      <c r="J263" t="s">
        <v>17</v>
      </c>
      <c r="K263">
        <v>8</v>
      </c>
      <c r="L263" s="2">
        <f t="shared" si="16"/>
        <v>0</v>
      </c>
      <c r="M263" t="str">
        <f t="shared" si="17"/>
        <v>Met</v>
      </c>
      <c r="N263">
        <f t="shared" si="18"/>
        <v>1</v>
      </c>
      <c r="O263" t="str">
        <f t="shared" si="19"/>
        <v>Low</v>
      </c>
    </row>
    <row r="264" spans="1:15" x14ac:dyDescent="0.2">
      <c r="A264" t="s">
        <v>304</v>
      </c>
      <c r="B264" s="1">
        <v>46160</v>
      </c>
      <c r="C264" t="s">
        <v>19</v>
      </c>
      <c r="D264" t="s">
        <v>67</v>
      </c>
      <c r="E264" t="s">
        <v>14</v>
      </c>
      <c r="F264" t="s">
        <v>21</v>
      </c>
      <c r="G264" t="s">
        <v>14</v>
      </c>
      <c r="H264" s="1">
        <v>46163</v>
      </c>
      <c r="I264" s="1">
        <v>46163</v>
      </c>
      <c r="J264" t="s">
        <v>17</v>
      </c>
      <c r="K264">
        <v>16</v>
      </c>
      <c r="L264" s="2">
        <f t="shared" si="16"/>
        <v>0</v>
      </c>
      <c r="M264" t="str">
        <f t="shared" si="17"/>
        <v>Met</v>
      </c>
      <c r="N264">
        <f t="shared" si="18"/>
        <v>1</v>
      </c>
      <c r="O264" t="str">
        <f t="shared" si="19"/>
        <v>Low</v>
      </c>
    </row>
    <row r="265" spans="1:15" x14ac:dyDescent="0.2">
      <c r="A265" t="s">
        <v>305</v>
      </c>
      <c r="B265" s="1">
        <v>46161</v>
      </c>
      <c r="C265" t="s">
        <v>48</v>
      </c>
      <c r="D265" t="s">
        <v>67</v>
      </c>
      <c r="E265" t="s">
        <v>14</v>
      </c>
      <c r="F265" t="s">
        <v>35</v>
      </c>
      <c r="G265" t="s">
        <v>16</v>
      </c>
      <c r="H265" s="1">
        <v>46162</v>
      </c>
      <c r="I265" s="1">
        <v>46161</v>
      </c>
      <c r="J265" t="s">
        <v>17</v>
      </c>
      <c r="K265">
        <v>35</v>
      </c>
      <c r="L265" s="2">
        <f t="shared" si="16"/>
        <v>-1</v>
      </c>
      <c r="M265" t="str">
        <f t="shared" si="17"/>
        <v>Met</v>
      </c>
      <c r="N265">
        <f t="shared" si="18"/>
        <v>1</v>
      </c>
      <c r="O265" t="str">
        <f t="shared" si="19"/>
        <v>Low</v>
      </c>
    </row>
    <row r="266" spans="1:15" x14ac:dyDescent="0.2">
      <c r="A266" t="s">
        <v>306</v>
      </c>
      <c r="B266" s="1">
        <v>46161</v>
      </c>
      <c r="C266" t="s">
        <v>12</v>
      </c>
      <c r="D266" t="s">
        <v>41</v>
      </c>
      <c r="E266" t="s">
        <v>14</v>
      </c>
      <c r="F266" t="s">
        <v>21</v>
      </c>
      <c r="G266" t="s">
        <v>16</v>
      </c>
      <c r="H266" s="1">
        <v>46162</v>
      </c>
      <c r="I266" s="1">
        <v>46161</v>
      </c>
      <c r="J266" t="s">
        <v>17</v>
      </c>
      <c r="K266">
        <v>27</v>
      </c>
      <c r="L266" s="2">
        <f t="shared" si="16"/>
        <v>-1</v>
      </c>
      <c r="M266" t="str">
        <f t="shared" si="17"/>
        <v>Met</v>
      </c>
      <c r="N266">
        <f t="shared" si="18"/>
        <v>1</v>
      </c>
      <c r="O266" t="str">
        <f t="shared" si="19"/>
        <v>Low</v>
      </c>
    </row>
    <row r="267" spans="1:15" x14ac:dyDescent="0.2">
      <c r="A267" t="s">
        <v>307</v>
      </c>
      <c r="B267" s="1">
        <v>46161</v>
      </c>
      <c r="C267" t="s">
        <v>48</v>
      </c>
      <c r="D267" t="s">
        <v>34</v>
      </c>
      <c r="E267" t="s">
        <v>14</v>
      </c>
      <c r="F267" t="s">
        <v>35</v>
      </c>
      <c r="G267" t="s">
        <v>22</v>
      </c>
      <c r="H267" s="1">
        <v>46163</v>
      </c>
      <c r="I267" s="1">
        <v>46163</v>
      </c>
      <c r="J267" t="s">
        <v>17</v>
      </c>
      <c r="K267">
        <v>35</v>
      </c>
      <c r="L267" s="2">
        <f t="shared" si="16"/>
        <v>0</v>
      </c>
      <c r="M267" t="str">
        <f t="shared" si="17"/>
        <v>Met</v>
      </c>
      <c r="N267">
        <f t="shared" si="18"/>
        <v>1</v>
      </c>
      <c r="O267" t="str">
        <f t="shared" si="19"/>
        <v>Low</v>
      </c>
    </row>
    <row r="268" spans="1:15" x14ac:dyDescent="0.2">
      <c r="A268" t="s">
        <v>308</v>
      </c>
      <c r="B268" s="1">
        <v>46161</v>
      </c>
      <c r="C268" t="s">
        <v>33</v>
      </c>
      <c r="D268" t="s">
        <v>20</v>
      </c>
      <c r="E268" t="s">
        <v>14</v>
      </c>
      <c r="F268" t="s">
        <v>75</v>
      </c>
      <c r="G268" t="s">
        <v>14</v>
      </c>
      <c r="H268" s="1">
        <v>46164</v>
      </c>
      <c r="I268" s="1">
        <v>46164</v>
      </c>
      <c r="J268" t="s">
        <v>17</v>
      </c>
      <c r="K268">
        <v>24</v>
      </c>
      <c r="L268" s="2">
        <f t="shared" si="16"/>
        <v>0</v>
      </c>
      <c r="M268" t="str">
        <f t="shared" si="17"/>
        <v>Met</v>
      </c>
      <c r="N268">
        <f t="shared" si="18"/>
        <v>1</v>
      </c>
      <c r="O268" t="str">
        <f t="shared" si="19"/>
        <v>Low</v>
      </c>
    </row>
    <row r="269" spans="1:15" x14ac:dyDescent="0.2">
      <c r="A269" t="s">
        <v>309</v>
      </c>
      <c r="B269" s="1">
        <v>46161</v>
      </c>
      <c r="C269" t="s">
        <v>48</v>
      </c>
      <c r="D269" t="s">
        <v>25</v>
      </c>
      <c r="E269" t="s">
        <v>26</v>
      </c>
      <c r="F269" t="s">
        <v>29</v>
      </c>
      <c r="G269" t="s">
        <v>14</v>
      </c>
      <c r="H269" s="1">
        <v>46164</v>
      </c>
      <c r="I269" s="1">
        <v>46164</v>
      </c>
      <c r="J269" t="s">
        <v>17</v>
      </c>
      <c r="K269">
        <v>15</v>
      </c>
      <c r="L269" s="2">
        <f t="shared" si="16"/>
        <v>0</v>
      </c>
      <c r="M269" t="str">
        <f t="shared" si="17"/>
        <v>Met</v>
      </c>
      <c r="N269">
        <f t="shared" si="18"/>
        <v>1</v>
      </c>
      <c r="O269" t="str">
        <f t="shared" si="19"/>
        <v>Low</v>
      </c>
    </row>
    <row r="270" spans="1:15" x14ac:dyDescent="0.2">
      <c r="A270" t="s">
        <v>310</v>
      </c>
      <c r="B270" s="1">
        <v>46161</v>
      </c>
      <c r="C270" t="s">
        <v>37</v>
      </c>
      <c r="D270" t="s">
        <v>25</v>
      </c>
      <c r="E270" t="s">
        <v>26</v>
      </c>
      <c r="F270" t="s">
        <v>75</v>
      </c>
      <c r="G270" t="s">
        <v>22</v>
      </c>
      <c r="H270" s="1">
        <v>46163</v>
      </c>
      <c r="I270" s="1">
        <v>46165</v>
      </c>
      <c r="J270" t="s">
        <v>42</v>
      </c>
      <c r="K270">
        <v>8</v>
      </c>
      <c r="L270" s="2">
        <f t="shared" si="16"/>
        <v>2</v>
      </c>
      <c r="M270" t="str">
        <f t="shared" si="17"/>
        <v>Breached</v>
      </c>
      <c r="N270">
        <f t="shared" si="18"/>
        <v>0</v>
      </c>
      <c r="O270" t="str">
        <f t="shared" si="19"/>
        <v>High</v>
      </c>
    </row>
    <row r="271" spans="1:15" x14ac:dyDescent="0.2">
      <c r="A271" t="s">
        <v>311</v>
      </c>
      <c r="B271" s="1">
        <v>46161</v>
      </c>
      <c r="C271" t="s">
        <v>19</v>
      </c>
      <c r="D271" t="s">
        <v>54</v>
      </c>
      <c r="E271" t="s">
        <v>14</v>
      </c>
      <c r="F271" t="s">
        <v>15</v>
      </c>
      <c r="G271" t="s">
        <v>22</v>
      </c>
      <c r="H271" s="1">
        <v>46163</v>
      </c>
      <c r="I271" s="1">
        <v>46163</v>
      </c>
      <c r="J271" t="s">
        <v>17</v>
      </c>
      <c r="K271">
        <v>18</v>
      </c>
      <c r="L271" s="2">
        <f t="shared" si="16"/>
        <v>0</v>
      </c>
      <c r="M271" t="str">
        <f t="shared" si="17"/>
        <v>Met</v>
      </c>
      <c r="N271">
        <f t="shared" si="18"/>
        <v>1</v>
      </c>
      <c r="O271" t="str">
        <f t="shared" si="19"/>
        <v>Low</v>
      </c>
    </row>
    <row r="272" spans="1:15" x14ac:dyDescent="0.2">
      <c r="A272" t="s">
        <v>312</v>
      </c>
      <c r="B272" s="1">
        <v>46161</v>
      </c>
      <c r="C272" t="s">
        <v>33</v>
      </c>
      <c r="D272" t="s">
        <v>13</v>
      </c>
      <c r="E272" t="s">
        <v>14</v>
      </c>
      <c r="F272" t="s">
        <v>29</v>
      </c>
      <c r="G272" t="s">
        <v>16</v>
      </c>
      <c r="H272" s="1">
        <v>46162</v>
      </c>
      <c r="I272" s="1">
        <v>46162</v>
      </c>
      <c r="J272" t="s">
        <v>17</v>
      </c>
      <c r="K272">
        <v>10</v>
      </c>
      <c r="L272" s="2">
        <f t="shared" si="16"/>
        <v>0</v>
      </c>
      <c r="M272" t="str">
        <f t="shared" si="17"/>
        <v>Met</v>
      </c>
      <c r="N272">
        <f t="shared" si="18"/>
        <v>1</v>
      </c>
      <c r="O272" t="str">
        <f t="shared" si="19"/>
        <v>Low</v>
      </c>
    </row>
    <row r="273" spans="1:15" x14ac:dyDescent="0.2">
      <c r="A273" t="s">
        <v>313</v>
      </c>
      <c r="B273" s="1">
        <v>46162</v>
      </c>
      <c r="C273" t="s">
        <v>37</v>
      </c>
      <c r="D273" t="s">
        <v>41</v>
      </c>
      <c r="E273" t="s">
        <v>14</v>
      </c>
      <c r="F273" t="s">
        <v>31</v>
      </c>
      <c r="G273" t="s">
        <v>22</v>
      </c>
      <c r="H273" s="1">
        <v>46164</v>
      </c>
      <c r="I273" s="1">
        <v>46164</v>
      </c>
      <c r="J273" t="s">
        <v>17</v>
      </c>
      <c r="K273">
        <v>2</v>
      </c>
      <c r="L273" s="2">
        <f t="shared" si="16"/>
        <v>0</v>
      </c>
      <c r="M273" t="str">
        <f t="shared" si="17"/>
        <v>Met</v>
      </c>
      <c r="N273">
        <f t="shared" si="18"/>
        <v>1</v>
      </c>
      <c r="O273" t="str">
        <f t="shared" si="19"/>
        <v>Low</v>
      </c>
    </row>
    <row r="274" spans="1:15" x14ac:dyDescent="0.2">
      <c r="A274" t="s">
        <v>314</v>
      </c>
      <c r="B274" s="1">
        <v>46162</v>
      </c>
      <c r="C274" t="s">
        <v>33</v>
      </c>
      <c r="D274" t="s">
        <v>13</v>
      </c>
      <c r="E274" t="s">
        <v>14</v>
      </c>
      <c r="F274" t="s">
        <v>21</v>
      </c>
      <c r="G274" t="s">
        <v>14</v>
      </c>
      <c r="H274" s="1">
        <v>46165</v>
      </c>
      <c r="I274" s="1">
        <v>46165</v>
      </c>
      <c r="J274" t="s">
        <v>17</v>
      </c>
      <c r="K274">
        <v>24</v>
      </c>
      <c r="L274" s="2">
        <f t="shared" si="16"/>
        <v>0</v>
      </c>
      <c r="M274" t="str">
        <f t="shared" si="17"/>
        <v>Met</v>
      </c>
      <c r="N274">
        <f t="shared" si="18"/>
        <v>1</v>
      </c>
      <c r="O274" t="str">
        <f t="shared" si="19"/>
        <v>Low</v>
      </c>
    </row>
    <row r="275" spans="1:15" x14ac:dyDescent="0.2">
      <c r="A275" t="s">
        <v>315</v>
      </c>
      <c r="B275" s="1">
        <v>46162</v>
      </c>
      <c r="C275" t="s">
        <v>33</v>
      </c>
      <c r="D275" t="s">
        <v>25</v>
      </c>
      <c r="E275" t="s">
        <v>26</v>
      </c>
      <c r="F275" t="s">
        <v>15</v>
      </c>
      <c r="G275" t="s">
        <v>14</v>
      </c>
      <c r="H275" s="1">
        <v>46165</v>
      </c>
      <c r="I275" s="1">
        <v>46165</v>
      </c>
      <c r="J275" t="s">
        <v>17</v>
      </c>
      <c r="K275">
        <v>5</v>
      </c>
      <c r="L275" s="2">
        <f t="shared" si="16"/>
        <v>0</v>
      </c>
      <c r="M275" t="str">
        <f t="shared" si="17"/>
        <v>Met</v>
      </c>
      <c r="N275">
        <f t="shared" si="18"/>
        <v>1</v>
      </c>
      <c r="O275" t="str">
        <f t="shared" si="19"/>
        <v>Low</v>
      </c>
    </row>
    <row r="276" spans="1:15" x14ac:dyDescent="0.2">
      <c r="A276" t="s">
        <v>316</v>
      </c>
      <c r="B276" s="1">
        <v>46162</v>
      </c>
      <c r="C276" t="s">
        <v>48</v>
      </c>
      <c r="D276" t="s">
        <v>39</v>
      </c>
      <c r="E276" t="s">
        <v>26</v>
      </c>
      <c r="F276" t="s">
        <v>75</v>
      </c>
      <c r="G276" t="s">
        <v>22</v>
      </c>
      <c r="H276" s="1">
        <v>46164</v>
      </c>
      <c r="I276" s="1">
        <v>46164</v>
      </c>
      <c r="J276" t="s">
        <v>17</v>
      </c>
      <c r="K276">
        <v>39</v>
      </c>
      <c r="L276" s="2">
        <f t="shared" si="16"/>
        <v>0</v>
      </c>
      <c r="M276" t="str">
        <f t="shared" si="17"/>
        <v>Met</v>
      </c>
      <c r="N276">
        <f t="shared" si="18"/>
        <v>1</v>
      </c>
      <c r="O276" t="str">
        <f t="shared" si="19"/>
        <v>Low</v>
      </c>
    </row>
    <row r="277" spans="1:15" x14ac:dyDescent="0.2">
      <c r="A277" t="s">
        <v>317</v>
      </c>
      <c r="B277" s="1">
        <v>46162</v>
      </c>
      <c r="C277" t="s">
        <v>24</v>
      </c>
      <c r="D277" t="s">
        <v>67</v>
      </c>
      <c r="E277" t="s">
        <v>14</v>
      </c>
      <c r="F277" t="s">
        <v>75</v>
      </c>
      <c r="G277" t="s">
        <v>14</v>
      </c>
      <c r="H277" s="1">
        <v>46165</v>
      </c>
      <c r="I277" s="1">
        <v>46164</v>
      </c>
      <c r="J277" t="s">
        <v>17</v>
      </c>
      <c r="K277">
        <v>34</v>
      </c>
      <c r="L277" s="2">
        <f t="shared" si="16"/>
        <v>-1</v>
      </c>
      <c r="M277" t="str">
        <f t="shared" si="17"/>
        <v>Met</v>
      </c>
      <c r="N277">
        <f t="shared" si="18"/>
        <v>1</v>
      </c>
      <c r="O277" t="str">
        <f t="shared" si="19"/>
        <v>Low</v>
      </c>
    </row>
    <row r="278" spans="1:15" x14ac:dyDescent="0.2">
      <c r="A278" t="s">
        <v>318</v>
      </c>
      <c r="B278" s="1">
        <v>46163</v>
      </c>
      <c r="C278" t="s">
        <v>12</v>
      </c>
      <c r="D278" t="s">
        <v>25</v>
      </c>
      <c r="E278" t="s">
        <v>26</v>
      </c>
      <c r="F278" t="s">
        <v>75</v>
      </c>
      <c r="G278" t="s">
        <v>16</v>
      </c>
      <c r="H278" s="1">
        <v>46164</v>
      </c>
      <c r="I278" s="1">
        <v>46164</v>
      </c>
      <c r="J278" t="s">
        <v>17</v>
      </c>
      <c r="K278">
        <v>5</v>
      </c>
      <c r="L278" s="2">
        <f t="shared" si="16"/>
        <v>0</v>
      </c>
      <c r="M278" t="str">
        <f t="shared" si="17"/>
        <v>Met</v>
      </c>
      <c r="N278">
        <f t="shared" si="18"/>
        <v>1</v>
      </c>
      <c r="O278" t="str">
        <f t="shared" si="19"/>
        <v>Low</v>
      </c>
    </row>
    <row r="279" spans="1:15" x14ac:dyDescent="0.2">
      <c r="A279" t="s">
        <v>319</v>
      </c>
      <c r="B279" s="1">
        <v>46163</v>
      </c>
      <c r="C279" t="s">
        <v>24</v>
      </c>
      <c r="D279" t="s">
        <v>46</v>
      </c>
      <c r="E279" t="s">
        <v>14</v>
      </c>
      <c r="F279" t="s">
        <v>29</v>
      </c>
      <c r="G279" t="s">
        <v>14</v>
      </c>
      <c r="H279" s="1">
        <v>46166</v>
      </c>
      <c r="I279" s="1">
        <v>46166</v>
      </c>
      <c r="J279" t="s">
        <v>17</v>
      </c>
      <c r="K279">
        <v>19</v>
      </c>
      <c r="L279" s="2">
        <f t="shared" si="16"/>
        <v>0</v>
      </c>
      <c r="M279" t="str">
        <f t="shared" si="17"/>
        <v>Met</v>
      </c>
      <c r="N279">
        <f t="shared" si="18"/>
        <v>1</v>
      </c>
      <c r="O279" t="str">
        <f t="shared" si="19"/>
        <v>Low</v>
      </c>
    </row>
    <row r="280" spans="1:15" x14ac:dyDescent="0.2">
      <c r="A280" t="s">
        <v>320</v>
      </c>
      <c r="B280" s="1">
        <v>46163</v>
      </c>
      <c r="C280" t="s">
        <v>24</v>
      </c>
      <c r="D280" t="s">
        <v>13</v>
      </c>
      <c r="E280" t="s">
        <v>14</v>
      </c>
      <c r="F280" t="s">
        <v>15</v>
      </c>
      <c r="G280" t="s">
        <v>22</v>
      </c>
      <c r="H280" s="1">
        <v>46165</v>
      </c>
      <c r="I280" s="1">
        <v>46165</v>
      </c>
      <c r="J280" t="s">
        <v>17</v>
      </c>
      <c r="K280">
        <v>18</v>
      </c>
      <c r="L280" s="2">
        <f t="shared" si="16"/>
        <v>0</v>
      </c>
      <c r="M280" t="str">
        <f t="shared" si="17"/>
        <v>Met</v>
      </c>
      <c r="N280">
        <f t="shared" si="18"/>
        <v>1</v>
      </c>
      <c r="O280" t="str">
        <f t="shared" si="19"/>
        <v>Low</v>
      </c>
    </row>
    <row r="281" spans="1:15" x14ac:dyDescent="0.2">
      <c r="A281" t="s">
        <v>321</v>
      </c>
      <c r="B281" s="1">
        <v>46163</v>
      </c>
      <c r="C281" t="s">
        <v>24</v>
      </c>
      <c r="D281" t="s">
        <v>28</v>
      </c>
      <c r="E281" t="s">
        <v>26</v>
      </c>
      <c r="F281" t="s">
        <v>31</v>
      </c>
      <c r="G281" t="s">
        <v>22</v>
      </c>
      <c r="H281" s="1">
        <v>46165</v>
      </c>
      <c r="I281" s="1">
        <v>46165</v>
      </c>
      <c r="J281" t="s">
        <v>17</v>
      </c>
      <c r="K281">
        <v>4</v>
      </c>
      <c r="L281" s="2">
        <f t="shared" si="16"/>
        <v>0</v>
      </c>
      <c r="M281" t="str">
        <f t="shared" si="17"/>
        <v>Met</v>
      </c>
      <c r="N281">
        <f t="shared" si="18"/>
        <v>1</v>
      </c>
      <c r="O281" t="str">
        <f t="shared" si="19"/>
        <v>Low</v>
      </c>
    </row>
    <row r="282" spans="1:15" x14ac:dyDescent="0.2">
      <c r="A282" t="s">
        <v>322</v>
      </c>
      <c r="B282" s="1">
        <v>46163</v>
      </c>
      <c r="C282" t="s">
        <v>33</v>
      </c>
      <c r="D282" t="s">
        <v>41</v>
      </c>
      <c r="E282" t="s">
        <v>14</v>
      </c>
      <c r="F282" t="s">
        <v>21</v>
      </c>
      <c r="G282" t="s">
        <v>16</v>
      </c>
      <c r="H282" s="1">
        <v>46164</v>
      </c>
      <c r="I282" s="1">
        <v>46164</v>
      </c>
      <c r="J282" t="s">
        <v>17</v>
      </c>
      <c r="K282">
        <v>35</v>
      </c>
      <c r="L282" s="2">
        <f t="shared" si="16"/>
        <v>0</v>
      </c>
      <c r="M282" t="str">
        <f t="shared" si="17"/>
        <v>Met</v>
      </c>
      <c r="N282">
        <f t="shared" si="18"/>
        <v>1</v>
      </c>
      <c r="O282" t="str">
        <f t="shared" si="19"/>
        <v>Low</v>
      </c>
    </row>
    <row r="283" spans="1:15" x14ac:dyDescent="0.2">
      <c r="A283" t="s">
        <v>323</v>
      </c>
      <c r="B283" s="1">
        <v>46164</v>
      </c>
      <c r="C283" t="s">
        <v>24</v>
      </c>
      <c r="D283" t="s">
        <v>44</v>
      </c>
      <c r="E283" t="s">
        <v>26</v>
      </c>
      <c r="F283" t="s">
        <v>15</v>
      </c>
      <c r="G283" t="s">
        <v>22</v>
      </c>
      <c r="H283" s="1">
        <v>46166</v>
      </c>
      <c r="I283" s="1">
        <v>46166</v>
      </c>
      <c r="J283" t="s">
        <v>17</v>
      </c>
      <c r="K283">
        <v>6</v>
      </c>
      <c r="L283" s="2">
        <f t="shared" si="16"/>
        <v>0</v>
      </c>
      <c r="M283" t="str">
        <f t="shared" si="17"/>
        <v>Met</v>
      </c>
      <c r="N283">
        <f t="shared" si="18"/>
        <v>1</v>
      </c>
      <c r="O283" t="str">
        <f t="shared" si="19"/>
        <v>Low</v>
      </c>
    </row>
    <row r="284" spans="1:15" x14ac:dyDescent="0.2">
      <c r="A284" t="s">
        <v>324</v>
      </c>
      <c r="B284" s="1">
        <v>46164</v>
      </c>
      <c r="C284" t="s">
        <v>48</v>
      </c>
      <c r="D284" t="s">
        <v>41</v>
      </c>
      <c r="E284" t="s">
        <v>14</v>
      </c>
      <c r="F284" t="s">
        <v>31</v>
      </c>
      <c r="G284" t="s">
        <v>14</v>
      </c>
      <c r="H284" s="1">
        <v>46167</v>
      </c>
      <c r="I284" s="1">
        <v>46167</v>
      </c>
      <c r="J284" t="s">
        <v>17</v>
      </c>
      <c r="K284">
        <v>4</v>
      </c>
      <c r="L284" s="2">
        <f t="shared" si="16"/>
        <v>0</v>
      </c>
      <c r="M284" t="str">
        <f t="shared" si="17"/>
        <v>Met</v>
      </c>
      <c r="N284">
        <f t="shared" si="18"/>
        <v>1</v>
      </c>
      <c r="O284" t="str">
        <f t="shared" si="19"/>
        <v>Low</v>
      </c>
    </row>
    <row r="285" spans="1:15" x14ac:dyDescent="0.2">
      <c r="A285" t="s">
        <v>325</v>
      </c>
      <c r="B285" s="1">
        <v>46164</v>
      </c>
      <c r="C285" t="s">
        <v>48</v>
      </c>
      <c r="D285" t="s">
        <v>67</v>
      </c>
      <c r="E285" t="s">
        <v>14</v>
      </c>
      <c r="F285" t="s">
        <v>31</v>
      </c>
      <c r="G285" t="s">
        <v>16</v>
      </c>
      <c r="H285" s="1">
        <v>46165</v>
      </c>
      <c r="I285" s="1">
        <v>46165</v>
      </c>
      <c r="J285" t="s">
        <v>17</v>
      </c>
      <c r="K285">
        <v>15</v>
      </c>
      <c r="L285" s="2">
        <f t="shared" si="16"/>
        <v>0</v>
      </c>
      <c r="M285" t="str">
        <f t="shared" si="17"/>
        <v>Met</v>
      </c>
      <c r="N285">
        <f t="shared" si="18"/>
        <v>1</v>
      </c>
      <c r="O285" t="str">
        <f t="shared" si="19"/>
        <v>Low</v>
      </c>
    </row>
    <row r="286" spans="1:15" x14ac:dyDescent="0.2">
      <c r="A286" t="s">
        <v>326</v>
      </c>
      <c r="B286" s="1">
        <v>46165</v>
      </c>
      <c r="C286" t="s">
        <v>33</v>
      </c>
      <c r="D286" t="s">
        <v>41</v>
      </c>
      <c r="E286" t="s">
        <v>14</v>
      </c>
      <c r="F286" t="s">
        <v>31</v>
      </c>
      <c r="G286" t="s">
        <v>16</v>
      </c>
      <c r="H286" s="1">
        <v>46166</v>
      </c>
      <c r="I286" s="1">
        <v>46166</v>
      </c>
      <c r="J286" t="s">
        <v>17</v>
      </c>
      <c r="K286">
        <v>27</v>
      </c>
      <c r="L286" s="2">
        <f t="shared" si="16"/>
        <v>0</v>
      </c>
      <c r="M286" t="str">
        <f t="shared" si="17"/>
        <v>Met</v>
      </c>
      <c r="N286">
        <f t="shared" si="18"/>
        <v>1</v>
      </c>
      <c r="O286" t="str">
        <f t="shared" si="19"/>
        <v>Low</v>
      </c>
    </row>
    <row r="287" spans="1:15" x14ac:dyDescent="0.2">
      <c r="A287" t="s">
        <v>327</v>
      </c>
      <c r="B287" s="1">
        <v>46165</v>
      </c>
      <c r="C287" t="s">
        <v>24</v>
      </c>
      <c r="D287" t="s">
        <v>39</v>
      </c>
      <c r="E287" t="s">
        <v>26</v>
      </c>
      <c r="F287" t="s">
        <v>15</v>
      </c>
      <c r="G287" t="s">
        <v>16</v>
      </c>
      <c r="H287" s="1">
        <v>46166</v>
      </c>
      <c r="I287" s="1">
        <v>46166</v>
      </c>
      <c r="J287" t="s">
        <v>17</v>
      </c>
      <c r="K287">
        <v>26</v>
      </c>
      <c r="L287" s="2">
        <f t="shared" si="16"/>
        <v>0</v>
      </c>
      <c r="M287" t="str">
        <f t="shared" si="17"/>
        <v>Met</v>
      </c>
      <c r="N287">
        <f t="shared" si="18"/>
        <v>1</v>
      </c>
      <c r="O287" t="str">
        <f t="shared" si="19"/>
        <v>Low</v>
      </c>
    </row>
    <row r="288" spans="1:15" x14ac:dyDescent="0.2">
      <c r="A288" t="s">
        <v>328</v>
      </c>
      <c r="B288" s="1">
        <v>46165</v>
      </c>
      <c r="C288" t="s">
        <v>19</v>
      </c>
      <c r="D288" t="s">
        <v>13</v>
      </c>
      <c r="E288" t="s">
        <v>14</v>
      </c>
      <c r="F288" t="s">
        <v>29</v>
      </c>
      <c r="G288" t="s">
        <v>16</v>
      </c>
      <c r="H288" s="1">
        <v>46166</v>
      </c>
      <c r="I288" s="1">
        <v>46166</v>
      </c>
      <c r="J288" t="s">
        <v>17</v>
      </c>
      <c r="K288">
        <v>35</v>
      </c>
      <c r="L288" s="2">
        <f t="shared" si="16"/>
        <v>0</v>
      </c>
      <c r="M288" t="str">
        <f t="shared" si="17"/>
        <v>Met</v>
      </c>
      <c r="N288">
        <f t="shared" si="18"/>
        <v>1</v>
      </c>
      <c r="O288" t="str">
        <f t="shared" si="19"/>
        <v>Low</v>
      </c>
    </row>
    <row r="289" spans="1:15" x14ac:dyDescent="0.2">
      <c r="A289" t="s">
        <v>329</v>
      </c>
      <c r="B289" s="1">
        <v>46165</v>
      </c>
      <c r="C289" t="s">
        <v>19</v>
      </c>
      <c r="D289" t="s">
        <v>41</v>
      </c>
      <c r="E289" t="s">
        <v>14</v>
      </c>
      <c r="F289" t="s">
        <v>15</v>
      </c>
      <c r="G289" t="s">
        <v>16</v>
      </c>
      <c r="H289" s="1">
        <v>46166</v>
      </c>
      <c r="I289" s="1">
        <v>46166</v>
      </c>
      <c r="J289" t="s">
        <v>17</v>
      </c>
      <c r="K289">
        <v>28</v>
      </c>
      <c r="L289" s="2">
        <f t="shared" si="16"/>
        <v>0</v>
      </c>
      <c r="M289" t="str">
        <f t="shared" si="17"/>
        <v>Met</v>
      </c>
      <c r="N289">
        <f t="shared" si="18"/>
        <v>1</v>
      </c>
      <c r="O289" t="str">
        <f t="shared" si="19"/>
        <v>Low</v>
      </c>
    </row>
    <row r="290" spans="1:15" x14ac:dyDescent="0.2">
      <c r="A290" t="s">
        <v>330</v>
      </c>
      <c r="B290" s="1">
        <v>46165</v>
      </c>
      <c r="C290" t="s">
        <v>33</v>
      </c>
      <c r="D290" t="s">
        <v>25</v>
      </c>
      <c r="E290" t="s">
        <v>26</v>
      </c>
      <c r="F290" t="s">
        <v>29</v>
      </c>
      <c r="G290" t="s">
        <v>16</v>
      </c>
      <c r="H290" s="1">
        <v>46166</v>
      </c>
      <c r="I290" s="1">
        <v>46166</v>
      </c>
      <c r="J290" t="s">
        <v>17</v>
      </c>
      <c r="K290">
        <v>16</v>
      </c>
      <c r="L290" s="2">
        <f t="shared" si="16"/>
        <v>0</v>
      </c>
      <c r="M290" t="str">
        <f t="shared" si="17"/>
        <v>Met</v>
      </c>
      <c r="N290">
        <f t="shared" si="18"/>
        <v>1</v>
      </c>
      <c r="O290" t="str">
        <f t="shared" si="19"/>
        <v>Low</v>
      </c>
    </row>
    <row r="291" spans="1:15" x14ac:dyDescent="0.2">
      <c r="A291" t="s">
        <v>331</v>
      </c>
      <c r="B291" s="1">
        <v>46166</v>
      </c>
      <c r="C291" t="s">
        <v>19</v>
      </c>
      <c r="D291" t="s">
        <v>13</v>
      </c>
      <c r="E291" t="s">
        <v>14</v>
      </c>
      <c r="F291" t="s">
        <v>15</v>
      </c>
      <c r="G291" t="s">
        <v>22</v>
      </c>
      <c r="H291" s="1">
        <v>46168</v>
      </c>
      <c r="I291" s="1">
        <v>46168</v>
      </c>
      <c r="J291" t="s">
        <v>17</v>
      </c>
      <c r="K291">
        <v>34</v>
      </c>
      <c r="L291" s="2">
        <f t="shared" si="16"/>
        <v>0</v>
      </c>
      <c r="M291" t="str">
        <f t="shared" si="17"/>
        <v>Met</v>
      </c>
      <c r="N291">
        <f t="shared" si="18"/>
        <v>1</v>
      </c>
      <c r="O291" t="str">
        <f t="shared" si="19"/>
        <v>Low</v>
      </c>
    </row>
    <row r="292" spans="1:15" x14ac:dyDescent="0.2">
      <c r="A292" t="s">
        <v>332</v>
      </c>
      <c r="B292" s="1">
        <v>46166</v>
      </c>
      <c r="C292" t="s">
        <v>12</v>
      </c>
      <c r="D292" t="s">
        <v>49</v>
      </c>
      <c r="E292" t="s">
        <v>26</v>
      </c>
      <c r="F292" t="s">
        <v>35</v>
      </c>
      <c r="G292" t="s">
        <v>16</v>
      </c>
      <c r="H292" s="1">
        <v>46167</v>
      </c>
      <c r="I292" s="1">
        <v>46167</v>
      </c>
      <c r="J292" t="s">
        <v>17</v>
      </c>
      <c r="K292">
        <v>27</v>
      </c>
      <c r="L292" s="2">
        <f t="shared" si="16"/>
        <v>0</v>
      </c>
      <c r="M292" t="str">
        <f t="shared" si="17"/>
        <v>Met</v>
      </c>
      <c r="N292">
        <f t="shared" si="18"/>
        <v>1</v>
      </c>
      <c r="O292" t="str">
        <f t="shared" si="19"/>
        <v>Low</v>
      </c>
    </row>
    <row r="293" spans="1:15" x14ac:dyDescent="0.2">
      <c r="A293" t="s">
        <v>333</v>
      </c>
      <c r="B293" s="1">
        <v>46167</v>
      </c>
      <c r="C293" t="s">
        <v>12</v>
      </c>
      <c r="D293" t="s">
        <v>28</v>
      </c>
      <c r="E293" t="s">
        <v>26</v>
      </c>
      <c r="F293" t="s">
        <v>75</v>
      </c>
      <c r="G293" t="s">
        <v>22</v>
      </c>
      <c r="H293" s="1">
        <v>46169</v>
      </c>
      <c r="I293" s="1">
        <v>46168</v>
      </c>
      <c r="J293" t="s">
        <v>17</v>
      </c>
      <c r="K293">
        <v>13</v>
      </c>
      <c r="L293" s="2">
        <f t="shared" si="16"/>
        <v>-1</v>
      </c>
      <c r="M293" t="str">
        <f t="shared" si="17"/>
        <v>Met</v>
      </c>
      <c r="N293">
        <f t="shared" si="18"/>
        <v>1</v>
      </c>
      <c r="O293" t="str">
        <f t="shared" si="19"/>
        <v>Low</v>
      </c>
    </row>
    <row r="294" spans="1:15" x14ac:dyDescent="0.2">
      <c r="A294" t="s">
        <v>334</v>
      </c>
      <c r="B294" s="1">
        <v>46167</v>
      </c>
      <c r="C294" t="s">
        <v>24</v>
      </c>
      <c r="D294" t="s">
        <v>13</v>
      </c>
      <c r="E294" t="s">
        <v>14</v>
      </c>
      <c r="F294" t="s">
        <v>29</v>
      </c>
      <c r="G294" t="s">
        <v>22</v>
      </c>
      <c r="H294" s="1">
        <v>46169</v>
      </c>
      <c r="I294" s="1">
        <v>46169</v>
      </c>
      <c r="J294" t="s">
        <v>17</v>
      </c>
      <c r="K294">
        <v>14</v>
      </c>
      <c r="L294" s="2">
        <f t="shared" si="16"/>
        <v>0</v>
      </c>
      <c r="M294" t="str">
        <f t="shared" si="17"/>
        <v>Met</v>
      </c>
      <c r="N294">
        <f t="shared" si="18"/>
        <v>1</v>
      </c>
      <c r="O294" t="str">
        <f t="shared" si="19"/>
        <v>Low</v>
      </c>
    </row>
    <row r="295" spans="1:15" x14ac:dyDescent="0.2">
      <c r="A295" t="s">
        <v>335</v>
      </c>
      <c r="B295" s="1">
        <v>46167</v>
      </c>
      <c r="C295" t="s">
        <v>19</v>
      </c>
      <c r="D295" t="s">
        <v>28</v>
      </c>
      <c r="E295" t="s">
        <v>26</v>
      </c>
      <c r="F295" t="s">
        <v>29</v>
      </c>
      <c r="G295" t="s">
        <v>22</v>
      </c>
      <c r="H295" s="1">
        <v>46169</v>
      </c>
      <c r="I295" s="1">
        <v>46169</v>
      </c>
      <c r="J295" t="s">
        <v>17</v>
      </c>
      <c r="K295">
        <v>15</v>
      </c>
      <c r="L295" s="2">
        <f t="shared" si="16"/>
        <v>0</v>
      </c>
      <c r="M295" t="str">
        <f t="shared" si="17"/>
        <v>Met</v>
      </c>
      <c r="N295">
        <f t="shared" si="18"/>
        <v>1</v>
      </c>
      <c r="O295" t="str">
        <f t="shared" si="19"/>
        <v>Low</v>
      </c>
    </row>
    <row r="296" spans="1:15" x14ac:dyDescent="0.2">
      <c r="A296" t="s">
        <v>336</v>
      </c>
      <c r="B296" s="1">
        <v>46167</v>
      </c>
      <c r="C296" t="s">
        <v>12</v>
      </c>
      <c r="D296" t="s">
        <v>20</v>
      </c>
      <c r="E296" t="s">
        <v>14</v>
      </c>
      <c r="F296" t="s">
        <v>35</v>
      </c>
      <c r="G296" t="s">
        <v>22</v>
      </c>
      <c r="H296" s="1">
        <v>46169</v>
      </c>
      <c r="I296" s="1">
        <v>46169</v>
      </c>
      <c r="J296" t="s">
        <v>17</v>
      </c>
      <c r="K296">
        <v>10</v>
      </c>
      <c r="L296" s="2">
        <f t="shared" si="16"/>
        <v>0</v>
      </c>
      <c r="M296" t="str">
        <f t="shared" si="17"/>
        <v>Met</v>
      </c>
      <c r="N296">
        <f t="shared" si="18"/>
        <v>1</v>
      </c>
      <c r="O296" t="str">
        <f t="shared" si="19"/>
        <v>Low</v>
      </c>
    </row>
    <row r="297" spans="1:15" x14ac:dyDescent="0.2">
      <c r="A297" t="s">
        <v>337</v>
      </c>
      <c r="B297" s="1">
        <v>46167</v>
      </c>
      <c r="C297" t="s">
        <v>48</v>
      </c>
      <c r="D297" t="s">
        <v>46</v>
      </c>
      <c r="E297" t="s">
        <v>14</v>
      </c>
      <c r="F297" t="s">
        <v>21</v>
      </c>
      <c r="G297" t="s">
        <v>22</v>
      </c>
      <c r="H297" s="1">
        <v>46169</v>
      </c>
      <c r="I297" s="1">
        <v>46169</v>
      </c>
      <c r="J297" t="s">
        <v>17</v>
      </c>
      <c r="K297">
        <v>20</v>
      </c>
      <c r="L297" s="2">
        <f t="shared" si="16"/>
        <v>0</v>
      </c>
      <c r="M297" t="str">
        <f t="shared" si="17"/>
        <v>Met</v>
      </c>
      <c r="N297">
        <f t="shared" si="18"/>
        <v>1</v>
      </c>
      <c r="O297" t="str">
        <f t="shared" si="19"/>
        <v>Low</v>
      </c>
    </row>
    <row r="298" spans="1:15" x14ac:dyDescent="0.2">
      <c r="A298" t="s">
        <v>338</v>
      </c>
      <c r="B298" s="1">
        <v>46167</v>
      </c>
      <c r="C298" t="s">
        <v>37</v>
      </c>
      <c r="D298" t="s">
        <v>20</v>
      </c>
      <c r="E298" t="s">
        <v>14</v>
      </c>
      <c r="F298" t="s">
        <v>31</v>
      </c>
      <c r="G298" t="s">
        <v>16</v>
      </c>
      <c r="H298" s="1">
        <v>46168</v>
      </c>
      <c r="I298" s="1">
        <v>46168</v>
      </c>
      <c r="J298" t="s">
        <v>17</v>
      </c>
      <c r="K298">
        <v>10</v>
      </c>
      <c r="L298" s="2">
        <f t="shared" si="16"/>
        <v>0</v>
      </c>
      <c r="M298" t="str">
        <f t="shared" si="17"/>
        <v>Met</v>
      </c>
      <c r="N298">
        <f t="shared" si="18"/>
        <v>1</v>
      </c>
      <c r="O298" t="str">
        <f t="shared" si="19"/>
        <v>Low</v>
      </c>
    </row>
    <row r="299" spans="1:15" x14ac:dyDescent="0.2">
      <c r="A299" t="s">
        <v>339</v>
      </c>
      <c r="B299" s="1">
        <v>46168</v>
      </c>
      <c r="C299" t="s">
        <v>33</v>
      </c>
      <c r="D299" t="s">
        <v>25</v>
      </c>
      <c r="E299" t="s">
        <v>26</v>
      </c>
      <c r="F299" t="s">
        <v>31</v>
      </c>
      <c r="G299" t="s">
        <v>14</v>
      </c>
      <c r="H299" s="1">
        <v>46171</v>
      </c>
      <c r="I299" s="1">
        <v>46171</v>
      </c>
      <c r="J299" t="s">
        <v>17</v>
      </c>
      <c r="K299">
        <v>27</v>
      </c>
      <c r="L299" s="2">
        <f t="shared" si="16"/>
        <v>0</v>
      </c>
      <c r="M299" t="str">
        <f t="shared" si="17"/>
        <v>Met</v>
      </c>
      <c r="N299">
        <f t="shared" si="18"/>
        <v>1</v>
      </c>
      <c r="O299" t="str">
        <f t="shared" si="19"/>
        <v>Low</v>
      </c>
    </row>
    <row r="300" spans="1:15" x14ac:dyDescent="0.2">
      <c r="A300" t="s">
        <v>340</v>
      </c>
      <c r="B300" s="1">
        <v>46168</v>
      </c>
      <c r="C300" t="s">
        <v>37</v>
      </c>
      <c r="D300" t="s">
        <v>25</v>
      </c>
      <c r="E300" t="s">
        <v>26</v>
      </c>
      <c r="F300" t="s">
        <v>31</v>
      </c>
      <c r="G300" t="s">
        <v>14</v>
      </c>
      <c r="H300" s="1">
        <v>46171</v>
      </c>
      <c r="I300" s="1">
        <v>46171</v>
      </c>
      <c r="J300" t="s">
        <v>17</v>
      </c>
      <c r="K300">
        <v>5</v>
      </c>
      <c r="L300" s="2">
        <f t="shared" si="16"/>
        <v>0</v>
      </c>
      <c r="M300" t="str">
        <f t="shared" si="17"/>
        <v>Met</v>
      </c>
      <c r="N300">
        <f t="shared" si="18"/>
        <v>1</v>
      </c>
      <c r="O300" t="str">
        <f t="shared" si="19"/>
        <v>Low</v>
      </c>
    </row>
    <row r="301" spans="1:15" x14ac:dyDescent="0.2">
      <c r="A301" t="s">
        <v>341</v>
      </c>
      <c r="B301" s="1">
        <v>46168</v>
      </c>
      <c r="C301" t="s">
        <v>24</v>
      </c>
      <c r="D301" t="s">
        <v>13</v>
      </c>
      <c r="E301" t="s">
        <v>14</v>
      </c>
      <c r="F301" t="s">
        <v>31</v>
      </c>
      <c r="G301" t="s">
        <v>16</v>
      </c>
      <c r="H301" s="1">
        <v>46169</v>
      </c>
      <c r="I301" s="1">
        <v>46169</v>
      </c>
      <c r="J301" t="s">
        <v>17</v>
      </c>
      <c r="K301">
        <v>17</v>
      </c>
      <c r="L301" s="2">
        <f t="shared" si="16"/>
        <v>0</v>
      </c>
      <c r="M301" t="str">
        <f t="shared" si="17"/>
        <v>Met</v>
      </c>
      <c r="N301">
        <f t="shared" si="18"/>
        <v>1</v>
      </c>
      <c r="O301" t="str">
        <f t="shared" si="19"/>
        <v>Low</v>
      </c>
    </row>
    <row r="302" spans="1:15" x14ac:dyDescent="0.2">
      <c r="A302" t="s">
        <v>342</v>
      </c>
      <c r="B302" s="1">
        <v>46168</v>
      </c>
      <c r="C302" t="s">
        <v>48</v>
      </c>
      <c r="D302" t="s">
        <v>54</v>
      </c>
      <c r="E302" t="s">
        <v>14</v>
      </c>
      <c r="F302" t="s">
        <v>31</v>
      </c>
      <c r="G302" t="s">
        <v>14</v>
      </c>
      <c r="H302" s="1">
        <v>46171</v>
      </c>
      <c r="I302" s="1">
        <v>46171</v>
      </c>
      <c r="J302" t="s">
        <v>17</v>
      </c>
      <c r="K302">
        <v>24</v>
      </c>
      <c r="L302" s="2">
        <f t="shared" si="16"/>
        <v>0</v>
      </c>
      <c r="M302" t="str">
        <f t="shared" si="17"/>
        <v>Met</v>
      </c>
      <c r="N302">
        <f t="shared" si="18"/>
        <v>1</v>
      </c>
      <c r="O302" t="str">
        <f t="shared" si="19"/>
        <v>Low</v>
      </c>
    </row>
    <row r="303" spans="1:15" x14ac:dyDescent="0.2">
      <c r="A303" t="s">
        <v>343</v>
      </c>
      <c r="B303" s="1">
        <v>46168</v>
      </c>
      <c r="C303" t="s">
        <v>19</v>
      </c>
      <c r="D303" t="s">
        <v>28</v>
      </c>
      <c r="E303" t="s">
        <v>26</v>
      </c>
      <c r="F303" t="s">
        <v>35</v>
      </c>
      <c r="G303" t="s">
        <v>22</v>
      </c>
      <c r="H303" s="1">
        <v>46170</v>
      </c>
      <c r="I303" s="1">
        <v>46170</v>
      </c>
      <c r="J303" t="s">
        <v>17</v>
      </c>
      <c r="K303">
        <v>36</v>
      </c>
      <c r="L303" s="2">
        <f t="shared" si="16"/>
        <v>0</v>
      </c>
      <c r="M303" t="str">
        <f t="shared" si="17"/>
        <v>Met</v>
      </c>
      <c r="N303">
        <f t="shared" si="18"/>
        <v>1</v>
      </c>
      <c r="O303" t="str">
        <f t="shared" si="19"/>
        <v>Low</v>
      </c>
    </row>
    <row r="304" spans="1:15" x14ac:dyDescent="0.2">
      <c r="A304" t="s">
        <v>344</v>
      </c>
      <c r="B304" s="1">
        <v>46168</v>
      </c>
      <c r="C304" t="s">
        <v>33</v>
      </c>
      <c r="D304" t="s">
        <v>54</v>
      </c>
      <c r="E304" t="s">
        <v>14</v>
      </c>
      <c r="F304" t="s">
        <v>29</v>
      </c>
      <c r="G304" t="s">
        <v>22</v>
      </c>
      <c r="H304" s="1">
        <v>46170</v>
      </c>
      <c r="I304" s="1">
        <v>46169</v>
      </c>
      <c r="J304" t="s">
        <v>17</v>
      </c>
      <c r="K304">
        <v>7</v>
      </c>
      <c r="L304" s="2">
        <f t="shared" si="16"/>
        <v>-1</v>
      </c>
      <c r="M304" t="str">
        <f t="shared" si="17"/>
        <v>Met</v>
      </c>
      <c r="N304">
        <f t="shared" si="18"/>
        <v>1</v>
      </c>
      <c r="O304" t="str">
        <f t="shared" si="19"/>
        <v>Low</v>
      </c>
    </row>
    <row r="305" spans="1:15" x14ac:dyDescent="0.2">
      <c r="A305" t="s">
        <v>345</v>
      </c>
      <c r="B305" s="1">
        <v>46168</v>
      </c>
      <c r="C305" t="s">
        <v>33</v>
      </c>
      <c r="D305" t="s">
        <v>20</v>
      </c>
      <c r="E305" t="s">
        <v>14</v>
      </c>
      <c r="F305" t="s">
        <v>35</v>
      </c>
      <c r="G305" t="s">
        <v>14</v>
      </c>
      <c r="H305" s="1">
        <v>46171</v>
      </c>
      <c r="I305" s="1">
        <v>46171</v>
      </c>
      <c r="J305" t="s">
        <v>17</v>
      </c>
      <c r="K305">
        <v>35</v>
      </c>
      <c r="L305" s="2">
        <f t="shared" si="16"/>
        <v>0</v>
      </c>
      <c r="M305" t="str">
        <f t="shared" si="17"/>
        <v>Met</v>
      </c>
      <c r="N305">
        <f t="shared" si="18"/>
        <v>1</v>
      </c>
      <c r="O305" t="str">
        <f t="shared" si="19"/>
        <v>Low</v>
      </c>
    </row>
    <row r="306" spans="1:15" x14ac:dyDescent="0.2">
      <c r="A306" t="s">
        <v>346</v>
      </c>
      <c r="B306" s="1">
        <v>46169</v>
      </c>
      <c r="C306" t="s">
        <v>24</v>
      </c>
      <c r="D306" t="s">
        <v>39</v>
      </c>
      <c r="E306" t="s">
        <v>26</v>
      </c>
      <c r="F306" t="s">
        <v>35</v>
      </c>
      <c r="G306" t="s">
        <v>22</v>
      </c>
      <c r="H306" s="1">
        <v>46171</v>
      </c>
      <c r="I306" s="1">
        <v>46172</v>
      </c>
      <c r="J306" t="s">
        <v>42</v>
      </c>
      <c r="K306">
        <v>5</v>
      </c>
      <c r="L306" s="2">
        <f t="shared" si="16"/>
        <v>1</v>
      </c>
      <c r="M306" t="str">
        <f t="shared" si="17"/>
        <v>Breached</v>
      </c>
      <c r="N306">
        <f t="shared" si="18"/>
        <v>0</v>
      </c>
      <c r="O306" t="str">
        <f t="shared" si="19"/>
        <v>High</v>
      </c>
    </row>
    <row r="307" spans="1:15" x14ac:dyDescent="0.2">
      <c r="A307" t="s">
        <v>347</v>
      </c>
      <c r="B307" s="1">
        <v>46169</v>
      </c>
      <c r="C307" t="s">
        <v>12</v>
      </c>
      <c r="D307" t="s">
        <v>13</v>
      </c>
      <c r="E307" t="s">
        <v>14</v>
      </c>
      <c r="F307" t="s">
        <v>29</v>
      </c>
      <c r="G307" t="s">
        <v>22</v>
      </c>
      <c r="H307" s="1">
        <v>46171</v>
      </c>
      <c r="I307" s="1">
        <v>46171</v>
      </c>
      <c r="J307" t="s">
        <v>17</v>
      </c>
      <c r="K307">
        <v>25</v>
      </c>
      <c r="L307" s="2">
        <f t="shared" si="16"/>
        <v>0</v>
      </c>
      <c r="M307" t="str">
        <f t="shared" si="17"/>
        <v>Met</v>
      </c>
      <c r="N307">
        <f t="shared" si="18"/>
        <v>1</v>
      </c>
      <c r="O307" t="str">
        <f t="shared" si="19"/>
        <v>Low</v>
      </c>
    </row>
    <row r="308" spans="1:15" x14ac:dyDescent="0.2">
      <c r="A308" t="s">
        <v>348</v>
      </c>
      <c r="B308" s="1">
        <v>46169</v>
      </c>
      <c r="C308" t="s">
        <v>37</v>
      </c>
      <c r="D308" t="s">
        <v>13</v>
      </c>
      <c r="E308" t="s">
        <v>14</v>
      </c>
      <c r="F308" t="s">
        <v>35</v>
      </c>
      <c r="G308" t="s">
        <v>14</v>
      </c>
      <c r="H308" s="1">
        <v>46172</v>
      </c>
      <c r="I308" s="1">
        <v>46172</v>
      </c>
      <c r="J308" t="s">
        <v>17</v>
      </c>
      <c r="K308">
        <v>5</v>
      </c>
      <c r="L308" s="2">
        <f t="shared" si="16"/>
        <v>0</v>
      </c>
      <c r="M308" t="str">
        <f t="shared" si="17"/>
        <v>Met</v>
      </c>
      <c r="N308">
        <f t="shared" si="18"/>
        <v>1</v>
      </c>
      <c r="O308" t="str">
        <f t="shared" si="19"/>
        <v>Low</v>
      </c>
    </row>
    <row r="309" spans="1:15" x14ac:dyDescent="0.2">
      <c r="A309" t="s">
        <v>349</v>
      </c>
      <c r="B309" s="1">
        <v>46169</v>
      </c>
      <c r="C309" t="s">
        <v>24</v>
      </c>
      <c r="D309" t="s">
        <v>46</v>
      </c>
      <c r="E309" t="s">
        <v>14</v>
      </c>
      <c r="F309" t="s">
        <v>15</v>
      </c>
      <c r="G309" t="s">
        <v>22</v>
      </c>
      <c r="H309" s="1">
        <v>46171</v>
      </c>
      <c r="I309" s="1">
        <v>46172</v>
      </c>
      <c r="J309" t="s">
        <v>42</v>
      </c>
      <c r="K309">
        <v>29</v>
      </c>
      <c r="L309" s="2">
        <f t="shared" si="16"/>
        <v>1</v>
      </c>
      <c r="M309" t="str">
        <f t="shared" si="17"/>
        <v>Breached</v>
      </c>
      <c r="N309">
        <f t="shared" si="18"/>
        <v>0</v>
      </c>
      <c r="O309" t="str">
        <f t="shared" si="19"/>
        <v>Medium</v>
      </c>
    </row>
    <row r="310" spans="1:15" x14ac:dyDescent="0.2">
      <c r="A310" t="s">
        <v>350</v>
      </c>
      <c r="B310" s="1">
        <v>46169</v>
      </c>
      <c r="C310" t="s">
        <v>33</v>
      </c>
      <c r="D310" t="s">
        <v>34</v>
      </c>
      <c r="E310" t="s">
        <v>14</v>
      </c>
      <c r="F310" t="s">
        <v>31</v>
      </c>
      <c r="G310" t="s">
        <v>16</v>
      </c>
      <c r="H310" s="1">
        <v>46170</v>
      </c>
      <c r="I310" s="1">
        <v>46170</v>
      </c>
      <c r="J310" t="s">
        <v>17</v>
      </c>
      <c r="K310">
        <v>29</v>
      </c>
      <c r="L310" s="2">
        <f t="shared" si="16"/>
        <v>0</v>
      </c>
      <c r="M310" t="str">
        <f t="shared" si="17"/>
        <v>Met</v>
      </c>
      <c r="N310">
        <f t="shared" si="18"/>
        <v>1</v>
      </c>
      <c r="O310" t="str">
        <f t="shared" si="19"/>
        <v>Low</v>
      </c>
    </row>
    <row r="311" spans="1:15" x14ac:dyDescent="0.2">
      <c r="A311" t="s">
        <v>351</v>
      </c>
      <c r="B311" s="1">
        <v>46169</v>
      </c>
      <c r="C311" t="s">
        <v>24</v>
      </c>
      <c r="D311" t="s">
        <v>67</v>
      </c>
      <c r="E311" t="s">
        <v>14</v>
      </c>
      <c r="F311" t="s">
        <v>15</v>
      </c>
      <c r="G311" t="s">
        <v>22</v>
      </c>
      <c r="H311" s="1">
        <v>46171</v>
      </c>
      <c r="I311" s="1">
        <v>46171</v>
      </c>
      <c r="J311" t="s">
        <v>17</v>
      </c>
      <c r="K311">
        <v>23</v>
      </c>
      <c r="L311" s="2">
        <f t="shared" si="16"/>
        <v>0</v>
      </c>
      <c r="M311" t="str">
        <f t="shared" si="17"/>
        <v>Met</v>
      </c>
      <c r="N311">
        <f t="shared" si="18"/>
        <v>1</v>
      </c>
      <c r="O311" t="str">
        <f t="shared" si="19"/>
        <v>Low</v>
      </c>
    </row>
    <row r="312" spans="1:15" x14ac:dyDescent="0.2">
      <c r="A312" t="s">
        <v>352</v>
      </c>
      <c r="B312" s="1">
        <v>46169</v>
      </c>
      <c r="C312" t="s">
        <v>33</v>
      </c>
      <c r="D312" t="s">
        <v>25</v>
      </c>
      <c r="E312" t="s">
        <v>26</v>
      </c>
      <c r="F312" t="s">
        <v>75</v>
      </c>
      <c r="G312" t="s">
        <v>22</v>
      </c>
      <c r="H312" s="1">
        <v>46171</v>
      </c>
      <c r="I312" s="1">
        <v>46172</v>
      </c>
      <c r="J312" t="s">
        <v>42</v>
      </c>
      <c r="K312">
        <v>24</v>
      </c>
      <c r="L312" s="2">
        <f t="shared" si="16"/>
        <v>1</v>
      </c>
      <c r="M312" t="str">
        <f t="shared" si="17"/>
        <v>Breached</v>
      </c>
      <c r="N312">
        <f t="shared" si="18"/>
        <v>0</v>
      </c>
      <c r="O312" t="str">
        <f t="shared" si="19"/>
        <v>High</v>
      </c>
    </row>
    <row r="313" spans="1:15" x14ac:dyDescent="0.2">
      <c r="A313" t="s">
        <v>353</v>
      </c>
      <c r="B313" s="1">
        <v>46170</v>
      </c>
      <c r="C313" t="s">
        <v>19</v>
      </c>
      <c r="D313" t="s">
        <v>39</v>
      </c>
      <c r="E313" t="s">
        <v>26</v>
      </c>
      <c r="F313" t="s">
        <v>21</v>
      </c>
      <c r="G313" t="s">
        <v>16</v>
      </c>
      <c r="H313" s="1">
        <v>46171</v>
      </c>
      <c r="I313" s="1">
        <v>46172</v>
      </c>
      <c r="J313" t="s">
        <v>42</v>
      </c>
      <c r="K313">
        <v>6</v>
      </c>
      <c r="L313" s="2">
        <f t="shared" si="16"/>
        <v>1</v>
      </c>
      <c r="M313" t="str">
        <f t="shared" si="17"/>
        <v>Breached</v>
      </c>
      <c r="N313">
        <f t="shared" si="18"/>
        <v>0</v>
      </c>
      <c r="O313" t="str">
        <f t="shared" si="19"/>
        <v>High</v>
      </c>
    </row>
    <row r="314" spans="1:15" x14ac:dyDescent="0.2">
      <c r="A314" t="s">
        <v>354</v>
      </c>
      <c r="B314" s="1">
        <v>46170</v>
      </c>
      <c r="C314" t="s">
        <v>33</v>
      </c>
      <c r="D314" t="s">
        <v>28</v>
      </c>
      <c r="E314" t="s">
        <v>26</v>
      </c>
      <c r="F314" t="s">
        <v>21</v>
      </c>
      <c r="G314" t="s">
        <v>22</v>
      </c>
      <c r="H314" s="1">
        <v>46172</v>
      </c>
      <c r="I314" s="1">
        <v>46172</v>
      </c>
      <c r="J314" t="s">
        <v>17</v>
      </c>
      <c r="K314">
        <v>32</v>
      </c>
      <c r="L314" s="2">
        <f t="shared" si="16"/>
        <v>0</v>
      </c>
      <c r="M314" t="str">
        <f t="shared" si="17"/>
        <v>Met</v>
      </c>
      <c r="N314">
        <f t="shared" si="18"/>
        <v>1</v>
      </c>
      <c r="O314" t="str">
        <f t="shared" si="19"/>
        <v>Low</v>
      </c>
    </row>
    <row r="315" spans="1:15" x14ac:dyDescent="0.2">
      <c r="A315" t="s">
        <v>355</v>
      </c>
      <c r="B315" s="1">
        <v>46170</v>
      </c>
      <c r="C315" t="s">
        <v>12</v>
      </c>
      <c r="D315" t="s">
        <v>39</v>
      </c>
      <c r="E315" t="s">
        <v>26</v>
      </c>
      <c r="F315" t="s">
        <v>15</v>
      </c>
      <c r="G315" t="s">
        <v>14</v>
      </c>
      <c r="H315" s="1">
        <v>46173</v>
      </c>
      <c r="I315" s="1">
        <v>46173</v>
      </c>
      <c r="J315" t="s">
        <v>17</v>
      </c>
      <c r="K315">
        <v>6</v>
      </c>
      <c r="L315" s="2">
        <f t="shared" si="16"/>
        <v>0</v>
      </c>
      <c r="M315" t="str">
        <f t="shared" si="17"/>
        <v>Met</v>
      </c>
      <c r="N315">
        <f t="shared" si="18"/>
        <v>1</v>
      </c>
      <c r="O315" t="str">
        <f t="shared" si="19"/>
        <v>Low</v>
      </c>
    </row>
    <row r="316" spans="1:15" x14ac:dyDescent="0.2">
      <c r="A316" t="s">
        <v>356</v>
      </c>
      <c r="B316" s="1">
        <v>46170</v>
      </c>
      <c r="C316" t="s">
        <v>48</v>
      </c>
      <c r="D316" t="s">
        <v>39</v>
      </c>
      <c r="E316" t="s">
        <v>26</v>
      </c>
      <c r="F316" t="s">
        <v>35</v>
      </c>
      <c r="G316" t="s">
        <v>22</v>
      </c>
      <c r="H316" s="1">
        <v>46172</v>
      </c>
      <c r="I316" s="1">
        <v>46172</v>
      </c>
      <c r="J316" t="s">
        <v>17</v>
      </c>
      <c r="K316">
        <v>40</v>
      </c>
      <c r="L316" s="2">
        <f t="shared" si="16"/>
        <v>0</v>
      </c>
      <c r="M316" t="str">
        <f t="shared" si="17"/>
        <v>Met</v>
      </c>
      <c r="N316">
        <f t="shared" si="18"/>
        <v>1</v>
      </c>
      <c r="O316" t="str">
        <f t="shared" si="19"/>
        <v>Low</v>
      </c>
    </row>
    <row r="317" spans="1:15" x14ac:dyDescent="0.2">
      <c r="A317" t="s">
        <v>357</v>
      </c>
      <c r="B317" s="1">
        <v>46171</v>
      </c>
      <c r="C317" t="s">
        <v>37</v>
      </c>
      <c r="D317" t="s">
        <v>49</v>
      </c>
      <c r="E317" t="s">
        <v>26</v>
      </c>
      <c r="F317" t="s">
        <v>35</v>
      </c>
      <c r="G317" t="s">
        <v>16</v>
      </c>
      <c r="H317" s="1">
        <v>46172</v>
      </c>
      <c r="I317" s="1">
        <v>46172</v>
      </c>
      <c r="J317" t="s">
        <v>17</v>
      </c>
      <c r="K317">
        <v>36</v>
      </c>
      <c r="L317" s="2">
        <f t="shared" si="16"/>
        <v>0</v>
      </c>
      <c r="M317" t="str">
        <f t="shared" si="17"/>
        <v>Met</v>
      </c>
      <c r="N317">
        <f t="shared" si="18"/>
        <v>1</v>
      </c>
      <c r="O317" t="str">
        <f t="shared" si="19"/>
        <v>Low</v>
      </c>
    </row>
    <row r="318" spans="1:15" x14ac:dyDescent="0.2">
      <c r="A318" t="s">
        <v>358</v>
      </c>
      <c r="B318" s="1">
        <v>46171</v>
      </c>
      <c r="C318" t="s">
        <v>33</v>
      </c>
      <c r="D318" t="s">
        <v>20</v>
      </c>
      <c r="E318" t="s">
        <v>14</v>
      </c>
      <c r="F318" t="s">
        <v>31</v>
      </c>
      <c r="G318" t="s">
        <v>22</v>
      </c>
      <c r="H318" s="1">
        <v>46173</v>
      </c>
      <c r="I318" s="1">
        <v>46173</v>
      </c>
      <c r="J318" t="s">
        <v>17</v>
      </c>
      <c r="K318">
        <v>5</v>
      </c>
      <c r="L318" s="2">
        <f t="shared" si="16"/>
        <v>0</v>
      </c>
      <c r="M318" t="str">
        <f t="shared" si="17"/>
        <v>Met</v>
      </c>
      <c r="N318">
        <f t="shared" si="18"/>
        <v>1</v>
      </c>
      <c r="O318" t="str">
        <f t="shared" si="19"/>
        <v>Low</v>
      </c>
    </row>
    <row r="319" spans="1:15" x14ac:dyDescent="0.2">
      <c r="A319" t="s">
        <v>359</v>
      </c>
      <c r="B319" s="1">
        <v>46171</v>
      </c>
      <c r="C319" t="s">
        <v>37</v>
      </c>
      <c r="D319" t="s">
        <v>41</v>
      </c>
      <c r="E319" t="s">
        <v>14</v>
      </c>
      <c r="F319" t="s">
        <v>35</v>
      </c>
      <c r="G319" t="s">
        <v>14</v>
      </c>
      <c r="H319" s="1">
        <v>46174</v>
      </c>
      <c r="I319" s="1">
        <v>46174</v>
      </c>
      <c r="J319" t="s">
        <v>17</v>
      </c>
      <c r="K319">
        <v>39</v>
      </c>
      <c r="L319" s="2">
        <f t="shared" si="16"/>
        <v>0</v>
      </c>
      <c r="M319" t="str">
        <f t="shared" si="17"/>
        <v>Met</v>
      </c>
      <c r="N319">
        <f t="shared" si="18"/>
        <v>1</v>
      </c>
      <c r="O319" t="str">
        <f t="shared" si="19"/>
        <v>Low</v>
      </c>
    </row>
    <row r="320" spans="1:15" x14ac:dyDescent="0.2">
      <c r="A320" t="s">
        <v>360</v>
      </c>
      <c r="B320" s="1">
        <v>46171</v>
      </c>
      <c r="C320" t="s">
        <v>19</v>
      </c>
      <c r="D320" t="s">
        <v>39</v>
      </c>
      <c r="E320" t="s">
        <v>26</v>
      </c>
      <c r="F320" t="s">
        <v>21</v>
      </c>
      <c r="G320" t="s">
        <v>16</v>
      </c>
      <c r="H320" s="1">
        <v>46172</v>
      </c>
      <c r="I320" s="1">
        <v>46172</v>
      </c>
      <c r="J320" t="s">
        <v>17</v>
      </c>
      <c r="K320">
        <v>32</v>
      </c>
      <c r="L320" s="2">
        <f t="shared" si="16"/>
        <v>0</v>
      </c>
      <c r="M320" t="str">
        <f t="shared" si="17"/>
        <v>Met</v>
      </c>
      <c r="N320">
        <f t="shared" si="18"/>
        <v>1</v>
      </c>
      <c r="O320" t="str">
        <f t="shared" si="19"/>
        <v>Low</v>
      </c>
    </row>
    <row r="321" spans="1:15" x14ac:dyDescent="0.2">
      <c r="A321" t="s">
        <v>361</v>
      </c>
      <c r="B321" s="1">
        <v>46171</v>
      </c>
      <c r="C321" t="s">
        <v>33</v>
      </c>
      <c r="D321" t="s">
        <v>44</v>
      </c>
      <c r="E321" t="s">
        <v>26</v>
      </c>
      <c r="F321" t="s">
        <v>35</v>
      </c>
      <c r="G321" t="s">
        <v>22</v>
      </c>
      <c r="H321" s="1">
        <v>46173</v>
      </c>
      <c r="I321" s="1">
        <v>46176</v>
      </c>
      <c r="J321" t="s">
        <v>42</v>
      </c>
      <c r="K321">
        <v>35</v>
      </c>
      <c r="L321" s="2">
        <f t="shared" si="16"/>
        <v>3</v>
      </c>
      <c r="M321" t="str">
        <f t="shared" si="17"/>
        <v>Breached</v>
      </c>
      <c r="N321">
        <f t="shared" si="18"/>
        <v>0</v>
      </c>
      <c r="O321" t="str">
        <f t="shared" si="19"/>
        <v>High</v>
      </c>
    </row>
    <row r="322" spans="1:15" x14ac:dyDescent="0.2">
      <c r="A322" t="s">
        <v>362</v>
      </c>
      <c r="B322" s="1">
        <v>46171</v>
      </c>
      <c r="C322" t="s">
        <v>12</v>
      </c>
      <c r="D322" t="s">
        <v>34</v>
      </c>
      <c r="E322" t="s">
        <v>14</v>
      </c>
      <c r="F322" t="s">
        <v>35</v>
      </c>
      <c r="G322" t="s">
        <v>16</v>
      </c>
      <c r="H322" s="1">
        <v>46172</v>
      </c>
      <c r="I322" s="1">
        <v>46173</v>
      </c>
      <c r="J322" t="s">
        <v>42</v>
      </c>
      <c r="K322">
        <v>31</v>
      </c>
      <c r="L322" s="2">
        <f t="shared" ref="L322:L385" si="20">I322-H322</f>
        <v>1</v>
      </c>
      <c r="M322" t="str">
        <f t="shared" ref="M322:M385" si="21">IF(I322&lt;=H322, "Met", "Breached")</f>
        <v>Breached</v>
      </c>
      <c r="N322">
        <f t="shared" ref="N322:N385" si="22">IF(M322="Met", 1,0)</f>
        <v>0</v>
      </c>
      <c r="O322" t="str">
        <f t="shared" ref="O322:O385" si="23">IF(AND(E322="VIP", M322="Breached"), "High", IF(M322="Breached","Medium", "Low"))</f>
        <v>Medium</v>
      </c>
    </row>
    <row r="323" spans="1:15" x14ac:dyDescent="0.2">
      <c r="A323" t="s">
        <v>363</v>
      </c>
      <c r="B323" s="1">
        <v>46171</v>
      </c>
      <c r="C323" t="s">
        <v>19</v>
      </c>
      <c r="D323" t="s">
        <v>67</v>
      </c>
      <c r="E323" t="s">
        <v>14</v>
      </c>
      <c r="F323" t="s">
        <v>15</v>
      </c>
      <c r="G323" t="s">
        <v>14</v>
      </c>
      <c r="H323" s="1">
        <v>46174</v>
      </c>
      <c r="I323" s="1">
        <v>46174</v>
      </c>
      <c r="J323" t="s">
        <v>17</v>
      </c>
      <c r="K323">
        <v>8</v>
      </c>
      <c r="L323" s="2">
        <f t="shared" si="20"/>
        <v>0</v>
      </c>
      <c r="M323" t="str">
        <f t="shared" si="21"/>
        <v>Met</v>
      </c>
      <c r="N323">
        <f t="shared" si="22"/>
        <v>1</v>
      </c>
      <c r="O323" t="str">
        <f t="shared" si="23"/>
        <v>Low</v>
      </c>
    </row>
    <row r="324" spans="1:15" x14ac:dyDescent="0.2">
      <c r="A324" t="s">
        <v>364</v>
      </c>
      <c r="B324" s="1">
        <v>46171</v>
      </c>
      <c r="C324" t="s">
        <v>37</v>
      </c>
      <c r="D324" t="s">
        <v>28</v>
      </c>
      <c r="E324" t="s">
        <v>26</v>
      </c>
      <c r="F324" t="s">
        <v>15</v>
      </c>
      <c r="G324" t="s">
        <v>14</v>
      </c>
      <c r="H324" s="1">
        <v>46174</v>
      </c>
      <c r="I324" s="1">
        <v>46175</v>
      </c>
      <c r="J324" t="s">
        <v>42</v>
      </c>
      <c r="K324">
        <v>2</v>
      </c>
      <c r="L324" s="2">
        <f t="shared" si="20"/>
        <v>1</v>
      </c>
      <c r="M324" t="str">
        <f t="shared" si="21"/>
        <v>Breached</v>
      </c>
      <c r="N324">
        <f t="shared" si="22"/>
        <v>0</v>
      </c>
      <c r="O324" t="str">
        <f t="shared" si="23"/>
        <v>High</v>
      </c>
    </row>
    <row r="325" spans="1:15" x14ac:dyDescent="0.2">
      <c r="A325" t="s">
        <v>365</v>
      </c>
      <c r="B325" s="1">
        <v>46171</v>
      </c>
      <c r="C325" t="s">
        <v>12</v>
      </c>
      <c r="D325" t="s">
        <v>34</v>
      </c>
      <c r="E325" t="s">
        <v>14</v>
      </c>
      <c r="F325" t="s">
        <v>35</v>
      </c>
      <c r="G325" t="s">
        <v>16</v>
      </c>
      <c r="H325" s="1">
        <v>46172</v>
      </c>
      <c r="I325" s="1">
        <v>46172</v>
      </c>
      <c r="J325" t="s">
        <v>17</v>
      </c>
      <c r="K325">
        <v>36</v>
      </c>
      <c r="L325" s="2">
        <f t="shared" si="20"/>
        <v>0</v>
      </c>
      <c r="M325" t="str">
        <f t="shared" si="21"/>
        <v>Met</v>
      </c>
      <c r="N325">
        <f t="shared" si="22"/>
        <v>1</v>
      </c>
      <c r="O325" t="str">
        <f t="shared" si="23"/>
        <v>Low</v>
      </c>
    </row>
    <row r="326" spans="1:15" x14ac:dyDescent="0.2">
      <c r="A326" t="s">
        <v>366</v>
      </c>
      <c r="B326" s="1">
        <v>46171</v>
      </c>
      <c r="C326" t="s">
        <v>12</v>
      </c>
      <c r="D326" t="s">
        <v>39</v>
      </c>
      <c r="E326" t="s">
        <v>26</v>
      </c>
      <c r="F326" t="s">
        <v>35</v>
      </c>
      <c r="G326" t="s">
        <v>16</v>
      </c>
      <c r="H326" s="1">
        <v>46172</v>
      </c>
      <c r="I326" s="1">
        <v>46172</v>
      </c>
      <c r="J326" t="s">
        <v>17</v>
      </c>
      <c r="K326">
        <v>24</v>
      </c>
      <c r="L326" s="2">
        <f t="shared" si="20"/>
        <v>0</v>
      </c>
      <c r="M326" t="str">
        <f t="shared" si="21"/>
        <v>Met</v>
      </c>
      <c r="N326">
        <f t="shared" si="22"/>
        <v>1</v>
      </c>
      <c r="O326" t="str">
        <f t="shared" si="23"/>
        <v>Low</v>
      </c>
    </row>
    <row r="327" spans="1:15" x14ac:dyDescent="0.2">
      <c r="A327" t="s">
        <v>367</v>
      </c>
      <c r="B327" s="1">
        <v>46172</v>
      </c>
      <c r="C327" t="s">
        <v>12</v>
      </c>
      <c r="D327" t="s">
        <v>67</v>
      </c>
      <c r="E327" t="s">
        <v>14</v>
      </c>
      <c r="F327" t="s">
        <v>15</v>
      </c>
      <c r="G327" t="s">
        <v>16</v>
      </c>
      <c r="H327" s="1">
        <v>46173</v>
      </c>
      <c r="I327" s="1">
        <v>46172</v>
      </c>
      <c r="J327" t="s">
        <v>17</v>
      </c>
      <c r="K327">
        <v>29</v>
      </c>
      <c r="L327" s="2">
        <f t="shared" si="20"/>
        <v>-1</v>
      </c>
      <c r="M327" t="str">
        <f t="shared" si="21"/>
        <v>Met</v>
      </c>
      <c r="N327">
        <f t="shared" si="22"/>
        <v>1</v>
      </c>
      <c r="O327" t="str">
        <f t="shared" si="23"/>
        <v>Low</v>
      </c>
    </row>
    <row r="328" spans="1:15" x14ac:dyDescent="0.2">
      <c r="A328" t="s">
        <v>368</v>
      </c>
      <c r="B328" s="1">
        <v>46172</v>
      </c>
      <c r="C328" t="s">
        <v>19</v>
      </c>
      <c r="D328" t="s">
        <v>46</v>
      </c>
      <c r="E328" t="s">
        <v>14</v>
      </c>
      <c r="F328" t="s">
        <v>75</v>
      </c>
      <c r="G328" t="s">
        <v>16</v>
      </c>
      <c r="H328" s="1">
        <v>46173</v>
      </c>
      <c r="I328" s="1">
        <v>46172</v>
      </c>
      <c r="J328" t="s">
        <v>17</v>
      </c>
      <c r="K328">
        <v>3</v>
      </c>
      <c r="L328" s="2">
        <f t="shared" si="20"/>
        <v>-1</v>
      </c>
      <c r="M328" t="str">
        <f t="shared" si="21"/>
        <v>Met</v>
      </c>
      <c r="N328">
        <f t="shared" si="22"/>
        <v>1</v>
      </c>
      <c r="O328" t="str">
        <f t="shared" si="23"/>
        <v>Low</v>
      </c>
    </row>
    <row r="329" spans="1:15" x14ac:dyDescent="0.2">
      <c r="A329" t="s">
        <v>369</v>
      </c>
      <c r="B329" s="1">
        <v>46172</v>
      </c>
      <c r="C329" t="s">
        <v>37</v>
      </c>
      <c r="D329" t="s">
        <v>67</v>
      </c>
      <c r="E329" t="s">
        <v>14</v>
      </c>
      <c r="F329" t="s">
        <v>21</v>
      </c>
      <c r="G329" t="s">
        <v>22</v>
      </c>
      <c r="H329" s="1">
        <v>46174</v>
      </c>
      <c r="I329" s="1">
        <v>46174</v>
      </c>
      <c r="J329" t="s">
        <v>17</v>
      </c>
      <c r="K329">
        <v>27</v>
      </c>
      <c r="L329" s="2">
        <f t="shared" si="20"/>
        <v>0</v>
      </c>
      <c r="M329" t="str">
        <f t="shared" si="21"/>
        <v>Met</v>
      </c>
      <c r="N329">
        <f t="shared" si="22"/>
        <v>1</v>
      </c>
      <c r="O329" t="str">
        <f t="shared" si="23"/>
        <v>Low</v>
      </c>
    </row>
    <row r="330" spans="1:15" x14ac:dyDescent="0.2">
      <c r="A330" t="s">
        <v>370</v>
      </c>
      <c r="B330" s="1">
        <v>46172</v>
      </c>
      <c r="C330" t="s">
        <v>19</v>
      </c>
      <c r="D330" t="s">
        <v>49</v>
      </c>
      <c r="E330" t="s">
        <v>26</v>
      </c>
      <c r="F330" t="s">
        <v>29</v>
      </c>
      <c r="G330" t="s">
        <v>22</v>
      </c>
      <c r="H330" s="1">
        <v>46174</v>
      </c>
      <c r="I330" s="1">
        <v>46174</v>
      </c>
      <c r="J330" t="s">
        <v>17</v>
      </c>
      <c r="K330">
        <v>24</v>
      </c>
      <c r="L330" s="2">
        <f t="shared" si="20"/>
        <v>0</v>
      </c>
      <c r="M330" t="str">
        <f t="shared" si="21"/>
        <v>Met</v>
      </c>
      <c r="N330">
        <f t="shared" si="22"/>
        <v>1</v>
      </c>
      <c r="O330" t="str">
        <f t="shared" si="23"/>
        <v>Low</v>
      </c>
    </row>
    <row r="331" spans="1:15" x14ac:dyDescent="0.2">
      <c r="A331" t="s">
        <v>371</v>
      </c>
      <c r="B331" s="1">
        <v>46172</v>
      </c>
      <c r="C331" t="s">
        <v>19</v>
      </c>
      <c r="D331" t="s">
        <v>44</v>
      </c>
      <c r="E331" t="s">
        <v>26</v>
      </c>
      <c r="F331" t="s">
        <v>29</v>
      </c>
      <c r="G331" t="s">
        <v>14</v>
      </c>
      <c r="H331" s="1">
        <v>46175</v>
      </c>
      <c r="I331" s="1">
        <v>46175</v>
      </c>
      <c r="J331" t="s">
        <v>17</v>
      </c>
      <c r="K331">
        <v>27</v>
      </c>
      <c r="L331" s="2">
        <f t="shared" si="20"/>
        <v>0</v>
      </c>
      <c r="M331" t="str">
        <f t="shared" si="21"/>
        <v>Met</v>
      </c>
      <c r="N331">
        <f t="shared" si="22"/>
        <v>1</v>
      </c>
      <c r="O331" t="str">
        <f t="shared" si="23"/>
        <v>Low</v>
      </c>
    </row>
    <row r="332" spans="1:15" x14ac:dyDescent="0.2">
      <c r="A332" t="s">
        <v>372</v>
      </c>
      <c r="B332" s="1">
        <v>46172</v>
      </c>
      <c r="C332" t="s">
        <v>33</v>
      </c>
      <c r="D332" t="s">
        <v>34</v>
      </c>
      <c r="E332" t="s">
        <v>14</v>
      </c>
      <c r="F332" t="s">
        <v>35</v>
      </c>
      <c r="G332" t="s">
        <v>14</v>
      </c>
      <c r="H332" s="1">
        <v>46175</v>
      </c>
      <c r="I332" s="1">
        <v>46175</v>
      </c>
      <c r="J332" t="s">
        <v>17</v>
      </c>
      <c r="K332">
        <v>21</v>
      </c>
      <c r="L332" s="2">
        <f t="shared" si="20"/>
        <v>0</v>
      </c>
      <c r="M332" t="str">
        <f t="shared" si="21"/>
        <v>Met</v>
      </c>
      <c r="N332">
        <f t="shared" si="22"/>
        <v>1</v>
      </c>
      <c r="O332" t="str">
        <f t="shared" si="23"/>
        <v>Low</v>
      </c>
    </row>
    <row r="333" spans="1:15" x14ac:dyDescent="0.2">
      <c r="A333" t="s">
        <v>373</v>
      </c>
      <c r="B333" s="1">
        <v>46173</v>
      </c>
      <c r="C333" t="s">
        <v>48</v>
      </c>
      <c r="D333" t="s">
        <v>67</v>
      </c>
      <c r="E333" t="s">
        <v>14</v>
      </c>
      <c r="F333" t="s">
        <v>29</v>
      </c>
      <c r="G333" t="s">
        <v>22</v>
      </c>
      <c r="H333" s="1">
        <v>46175</v>
      </c>
      <c r="I333" s="1">
        <v>46175</v>
      </c>
      <c r="J333" t="s">
        <v>17</v>
      </c>
      <c r="K333">
        <v>14</v>
      </c>
      <c r="L333" s="2">
        <f t="shared" si="20"/>
        <v>0</v>
      </c>
      <c r="M333" t="str">
        <f t="shared" si="21"/>
        <v>Met</v>
      </c>
      <c r="N333">
        <f t="shared" si="22"/>
        <v>1</v>
      </c>
      <c r="O333" t="str">
        <f t="shared" si="23"/>
        <v>Low</v>
      </c>
    </row>
    <row r="334" spans="1:15" x14ac:dyDescent="0.2">
      <c r="A334" t="s">
        <v>374</v>
      </c>
      <c r="B334" s="1">
        <v>46173</v>
      </c>
      <c r="C334" t="s">
        <v>12</v>
      </c>
      <c r="D334" t="s">
        <v>25</v>
      </c>
      <c r="E334" t="s">
        <v>26</v>
      </c>
      <c r="F334" t="s">
        <v>31</v>
      </c>
      <c r="G334" t="s">
        <v>16</v>
      </c>
      <c r="H334" s="1">
        <v>46174</v>
      </c>
      <c r="I334" s="1">
        <v>46174</v>
      </c>
      <c r="J334" t="s">
        <v>17</v>
      </c>
      <c r="K334">
        <v>31</v>
      </c>
      <c r="L334" s="2">
        <f t="shared" si="20"/>
        <v>0</v>
      </c>
      <c r="M334" t="str">
        <f t="shared" si="21"/>
        <v>Met</v>
      </c>
      <c r="N334">
        <f t="shared" si="22"/>
        <v>1</v>
      </c>
      <c r="O334" t="str">
        <f t="shared" si="23"/>
        <v>Low</v>
      </c>
    </row>
    <row r="335" spans="1:15" x14ac:dyDescent="0.2">
      <c r="A335" t="s">
        <v>375</v>
      </c>
      <c r="B335" s="1">
        <v>46173</v>
      </c>
      <c r="C335" t="s">
        <v>37</v>
      </c>
      <c r="D335" t="s">
        <v>41</v>
      </c>
      <c r="E335" t="s">
        <v>14</v>
      </c>
      <c r="F335" t="s">
        <v>29</v>
      </c>
      <c r="G335" t="s">
        <v>22</v>
      </c>
      <c r="H335" s="1">
        <v>46175</v>
      </c>
      <c r="I335" s="1">
        <v>46175</v>
      </c>
      <c r="J335" t="s">
        <v>17</v>
      </c>
      <c r="K335">
        <v>19</v>
      </c>
      <c r="L335" s="2">
        <f t="shared" si="20"/>
        <v>0</v>
      </c>
      <c r="M335" t="str">
        <f t="shared" si="21"/>
        <v>Met</v>
      </c>
      <c r="N335">
        <f t="shared" si="22"/>
        <v>1</v>
      </c>
      <c r="O335" t="str">
        <f t="shared" si="23"/>
        <v>Low</v>
      </c>
    </row>
    <row r="336" spans="1:15" x14ac:dyDescent="0.2">
      <c r="A336" t="s">
        <v>376</v>
      </c>
      <c r="B336" s="1">
        <v>46174</v>
      </c>
      <c r="C336" t="s">
        <v>19</v>
      </c>
      <c r="D336" t="s">
        <v>44</v>
      </c>
      <c r="E336" t="s">
        <v>26</v>
      </c>
      <c r="F336" t="s">
        <v>15</v>
      </c>
      <c r="G336" t="s">
        <v>14</v>
      </c>
      <c r="H336" s="1">
        <v>46177</v>
      </c>
      <c r="I336" s="1">
        <v>46177</v>
      </c>
      <c r="J336" t="s">
        <v>17</v>
      </c>
      <c r="K336">
        <v>39</v>
      </c>
      <c r="L336" s="2">
        <f t="shared" si="20"/>
        <v>0</v>
      </c>
      <c r="M336" t="str">
        <f t="shared" si="21"/>
        <v>Met</v>
      </c>
      <c r="N336">
        <f t="shared" si="22"/>
        <v>1</v>
      </c>
      <c r="O336" t="str">
        <f t="shared" si="23"/>
        <v>Low</v>
      </c>
    </row>
    <row r="337" spans="1:15" x14ac:dyDescent="0.2">
      <c r="A337" t="s">
        <v>377</v>
      </c>
      <c r="B337" s="1">
        <v>46174</v>
      </c>
      <c r="C337" t="s">
        <v>37</v>
      </c>
      <c r="D337" t="s">
        <v>39</v>
      </c>
      <c r="E337" t="s">
        <v>26</v>
      </c>
      <c r="F337" t="s">
        <v>35</v>
      </c>
      <c r="G337" t="s">
        <v>22</v>
      </c>
      <c r="H337" s="1">
        <v>46176</v>
      </c>
      <c r="I337" s="1">
        <v>46176</v>
      </c>
      <c r="J337" t="s">
        <v>17</v>
      </c>
      <c r="K337">
        <v>27</v>
      </c>
      <c r="L337" s="2">
        <f t="shared" si="20"/>
        <v>0</v>
      </c>
      <c r="M337" t="str">
        <f t="shared" si="21"/>
        <v>Met</v>
      </c>
      <c r="N337">
        <f t="shared" si="22"/>
        <v>1</v>
      </c>
      <c r="O337" t="str">
        <f t="shared" si="23"/>
        <v>Low</v>
      </c>
    </row>
    <row r="338" spans="1:15" x14ac:dyDescent="0.2">
      <c r="A338" t="s">
        <v>378</v>
      </c>
      <c r="B338" s="1">
        <v>46174</v>
      </c>
      <c r="C338" t="s">
        <v>37</v>
      </c>
      <c r="D338" t="s">
        <v>13</v>
      </c>
      <c r="E338" t="s">
        <v>14</v>
      </c>
      <c r="F338" t="s">
        <v>31</v>
      </c>
      <c r="G338" t="s">
        <v>22</v>
      </c>
      <c r="H338" s="1">
        <v>46176</v>
      </c>
      <c r="I338" s="1">
        <v>46176</v>
      </c>
      <c r="J338" t="s">
        <v>17</v>
      </c>
      <c r="K338">
        <v>35</v>
      </c>
      <c r="L338" s="2">
        <f t="shared" si="20"/>
        <v>0</v>
      </c>
      <c r="M338" t="str">
        <f t="shared" si="21"/>
        <v>Met</v>
      </c>
      <c r="N338">
        <f t="shared" si="22"/>
        <v>1</v>
      </c>
      <c r="O338" t="str">
        <f t="shared" si="23"/>
        <v>Low</v>
      </c>
    </row>
    <row r="339" spans="1:15" x14ac:dyDescent="0.2">
      <c r="A339" t="s">
        <v>379</v>
      </c>
      <c r="B339" s="1">
        <v>46174</v>
      </c>
      <c r="C339" t="s">
        <v>33</v>
      </c>
      <c r="D339" t="s">
        <v>46</v>
      </c>
      <c r="E339" t="s">
        <v>14</v>
      </c>
      <c r="F339" t="s">
        <v>21</v>
      </c>
      <c r="G339" t="s">
        <v>16</v>
      </c>
      <c r="H339" s="1">
        <v>46175</v>
      </c>
      <c r="I339" s="1">
        <v>46175</v>
      </c>
      <c r="J339" t="s">
        <v>17</v>
      </c>
      <c r="K339">
        <v>4</v>
      </c>
      <c r="L339" s="2">
        <f t="shared" si="20"/>
        <v>0</v>
      </c>
      <c r="M339" t="str">
        <f t="shared" si="21"/>
        <v>Met</v>
      </c>
      <c r="N339">
        <f t="shared" si="22"/>
        <v>1</v>
      </c>
      <c r="O339" t="str">
        <f t="shared" si="23"/>
        <v>Low</v>
      </c>
    </row>
    <row r="340" spans="1:15" x14ac:dyDescent="0.2">
      <c r="A340" t="s">
        <v>380</v>
      </c>
      <c r="B340" s="1">
        <v>46174</v>
      </c>
      <c r="C340" t="s">
        <v>19</v>
      </c>
      <c r="D340" t="s">
        <v>44</v>
      </c>
      <c r="E340" t="s">
        <v>26</v>
      </c>
      <c r="F340" t="s">
        <v>15</v>
      </c>
      <c r="G340" t="s">
        <v>22</v>
      </c>
      <c r="H340" s="1">
        <v>46176</v>
      </c>
      <c r="I340" s="1">
        <v>46176</v>
      </c>
      <c r="J340" t="s">
        <v>17</v>
      </c>
      <c r="K340">
        <v>36</v>
      </c>
      <c r="L340" s="2">
        <f t="shared" si="20"/>
        <v>0</v>
      </c>
      <c r="M340" t="str">
        <f t="shared" si="21"/>
        <v>Met</v>
      </c>
      <c r="N340">
        <f t="shared" si="22"/>
        <v>1</v>
      </c>
      <c r="O340" t="str">
        <f t="shared" si="23"/>
        <v>Low</v>
      </c>
    </row>
    <row r="341" spans="1:15" x14ac:dyDescent="0.2">
      <c r="A341" t="s">
        <v>381</v>
      </c>
      <c r="B341" s="1">
        <v>46174</v>
      </c>
      <c r="C341" t="s">
        <v>24</v>
      </c>
      <c r="D341" t="s">
        <v>34</v>
      </c>
      <c r="E341" t="s">
        <v>14</v>
      </c>
      <c r="F341" t="s">
        <v>75</v>
      </c>
      <c r="G341" t="s">
        <v>14</v>
      </c>
      <c r="H341" s="1">
        <v>46177</v>
      </c>
      <c r="I341" s="1">
        <v>46176</v>
      </c>
      <c r="J341" t="s">
        <v>17</v>
      </c>
      <c r="K341">
        <v>20</v>
      </c>
      <c r="L341" s="2">
        <f t="shared" si="20"/>
        <v>-1</v>
      </c>
      <c r="M341" t="str">
        <f t="shared" si="21"/>
        <v>Met</v>
      </c>
      <c r="N341">
        <f t="shared" si="22"/>
        <v>1</v>
      </c>
      <c r="O341" t="str">
        <f t="shared" si="23"/>
        <v>Low</v>
      </c>
    </row>
    <row r="342" spans="1:15" x14ac:dyDescent="0.2">
      <c r="A342" t="s">
        <v>382</v>
      </c>
      <c r="B342" s="1">
        <v>46175</v>
      </c>
      <c r="C342" t="s">
        <v>33</v>
      </c>
      <c r="D342" t="s">
        <v>54</v>
      </c>
      <c r="E342" t="s">
        <v>14</v>
      </c>
      <c r="F342" t="s">
        <v>15</v>
      </c>
      <c r="G342" t="s">
        <v>16</v>
      </c>
      <c r="H342" s="1">
        <v>46176</v>
      </c>
      <c r="I342" s="1">
        <v>46176</v>
      </c>
      <c r="J342" t="s">
        <v>17</v>
      </c>
      <c r="K342">
        <v>37</v>
      </c>
      <c r="L342" s="2">
        <f t="shared" si="20"/>
        <v>0</v>
      </c>
      <c r="M342" t="str">
        <f t="shared" si="21"/>
        <v>Met</v>
      </c>
      <c r="N342">
        <f t="shared" si="22"/>
        <v>1</v>
      </c>
      <c r="O342" t="str">
        <f t="shared" si="23"/>
        <v>Low</v>
      </c>
    </row>
    <row r="343" spans="1:15" x14ac:dyDescent="0.2">
      <c r="A343" t="s">
        <v>383</v>
      </c>
      <c r="B343" s="1">
        <v>46175</v>
      </c>
      <c r="C343" t="s">
        <v>24</v>
      </c>
      <c r="D343" t="s">
        <v>13</v>
      </c>
      <c r="E343" t="s">
        <v>14</v>
      </c>
      <c r="F343" t="s">
        <v>31</v>
      </c>
      <c r="G343" t="s">
        <v>16</v>
      </c>
      <c r="H343" s="1">
        <v>46176</v>
      </c>
      <c r="I343" s="1">
        <v>46180</v>
      </c>
      <c r="J343" t="s">
        <v>42</v>
      </c>
      <c r="K343">
        <v>30</v>
      </c>
      <c r="L343" s="2">
        <f t="shared" si="20"/>
        <v>4</v>
      </c>
      <c r="M343" t="str">
        <f t="shared" si="21"/>
        <v>Breached</v>
      </c>
      <c r="N343">
        <f t="shared" si="22"/>
        <v>0</v>
      </c>
      <c r="O343" t="str">
        <f t="shared" si="23"/>
        <v>Medium</v>
      </c>
    </row>
    <row r="344" spans="1:15" x14ac:dyDescent="0.2">
      <c r="A344" t="s">
        <v>384</v>
      </c>
      <c r="B344" s="1">
        <v>46175</v>
      </c>
      <c r="C344" t="s">
        <v>12</v>
      </c>
      <c r="D344" t="s">
        <v>41</v>
      </c>
      <c r="E344" t="s">
        <v>14</v>
      </c>
      <c r="F344" t="s">
        <v>31</v>
      </c>
      <c r="G344" t="s">
        <v>16</v>
      </c>
      <c r="H344" s="1">
        <v>46176</v>
      </c>
      <c r="I344" s="1">
        <v>46176</v>
      </c>
      <c r="J344" t="s">
        <v>17</v>
      </c>
      <c r="K344">
        <v>39</v>
      </c>
      <c r="L344" s="2">
        <f t="shared" si="20"/>
        <v>0</v>
      </c>
      <c r="M344" t="str">
        <f t="shared" si="21"/>
        <v>Met</v>
      </c>
      <c r="N344">
        <f t="shared" si="22"/>
        <v>1</v>
      </c>
      <c r="O344" t="str">
        <f t="shared" si="23"/>
        <v>Low</v>
      </c>
    </row>
    <row r="345" spans="1:15" x14ac:dyDescent="0.2">
      <c r="A345" t="s">
        <v>385</v>
      </c>
      <c r="B345" s="1">
        <v>46175</v>
      </c>
      <c r="C345" t="s">
        <v>19</v>
      </c>
      <c r="D345" t="s">
        <v>34</v>
      </c>
      <c r="E345" t="s">
        <v>14</v>
      </c>
      <c r="F345" t="s">
        <v>35</v>
      </c>
      <c r="G345" t="s">
        <v>16</v>
      </c>
      <c r="H345" s="1">
        <v>46176</v>
      </c>
      <c r="I345" s="1">
        <v>46176</v>
      </c>
      <c r="J345" t="s">
        <v>17</v>
      </c>
      <c r="K345">
        <v>32</v>
      </c>
      <c r="L345" s="2">
        <f t="shared" si="20"/>
        <v>0</v>
      </c>
      <c r="M345" t="str">
        <f t="shared" si="21"/>
        <v>Met</v>
      </c>
      <c r="N345">
        <f t="shared" si="22"/>
        <v>1</v>
      </c>
      <c r="O345" t="str">
        <f t="shared" si="23"/>
        <v>Low</v>
      </c>
    </row>
    <row r="346" spans="1:15" x14ac:dyDescent="0.2">
      <c r="A346" t="s">
        <v>386</v>
      </c>
      <c r="B346" s="1">
        <v>46175</v>
      </c>
      <c r="C346" t="s">
        <v>37</v>
      </c>
      <c r="D346" t="s">
        <v>13</v>
      </c>
      <c r="E346" t="s">
        <v>14</v>
      </c>
      <c r="F346" t="s">
        <v>29</v>
      </c>
      <c r="G346" t="s">
        <v>22</v>
      </c>
      <c r="H346" s="1">
        <v>46177</v>
      </c>
      <c r="I346" s="1">
        <v>46177</v>
      </c>
      <c r="J346" t="s">
        <v>17</v>
      </c>
      <c r="K346">
        <v>5</v>
      </c>
      <c r="L346" s="2">
        <f t="shared" si="20"/>
        <v>0</v>
      </c>
      <c r="M346" t="str">
        <f t="shared" si="21"/>
        <v>Met</v>
      </c>
      <c r="N346">
        <f t="shared" si="22"/>
        <v>1</v>
      </c>
      <c r="O346" t="str">
        <f t="shared" si="23"/>
        <v>Low</v>
      </c>
    </row>
    <row r="347" spans="1:15" x14ac:dyDescent="0.2">
      <c r="A347" t="s">
        <v>387</v>
      </c>
      <c r="B347" s="1">
        <v>46175</v>
      </c>
      <c r="C347" t="s">
        <v>19</v>
      </c>
      <c r="D347" t="s">
        <v>67</v>
      </c>
      <c r="E347" t="s">
        <v>14</v>
      </c>
      <c r="F347" t="s">
        <v>35</v>
      </c>
      <c r="G347" t="s">
        <v>14</v>
      </c>
      <c r="H347" s="1">
        <v>46178</v>
      </c>
      <c r="I347" s="1">
        <v>46178</v>
      </c>
      <c r="J347" t="s">
        <v>17</v>
      </c>
      <c r="K347">
        <v>12</v>
      </c>
      <c r="L347" s="2">
        <f t="shared" si="20"/>
        <v>0</v>
      </c>
      <c r="M347" t="str">
        <f t="shared" si="21"/>
        <v>Met</v>
      </c>
      <c r="N347">
        <f t="shared" si="22"/>
        <v>1</v>
      </c>
      <c r="O347" t="str">
        <f t="shared" si="23"/>
        <v>Low</v>
      </c>
    </row>
    <row r="348" spans="1:15" x14ac:dyDescent="0.2">
      <c r="A348" t="s">
        <v>388</v>
      </c>
      <c r="B348" s="1">
        <v>46176</v>
      </c>
      <c r="C348" t="s">
        <v>12</v>
      </c>
      <c r="D348" t="s">
        <v>34</v>
      </c>
      <c r="E348" t="s">
        <v>14</v>
      </c>
      <c r="F348" t="s">
        <v>31</v>
      </c>
      <c r="G348" t="s">
        <v>14</v>
      </c>
      <c r="H348" s="1">
        <v>46179</v>
      </c>
      <c r="I348" s="1">
        <v>46179</v>
      </c>
      <c r="J348" t="s">
        <v>17</v>
      </c>
      <c r="K348">
        <v>38</v>
      </c>
      <c r="L348" s="2">
        <f t="shared" si="20"/>
        <v>0</v>
      </c>
      <c r="M348" t="str">
        <f t="shared" si="21"/>
        <v>Met</v>
      </c>
      <c r="N348">
        <f t="shared" si="22"/>
        <v>1</v>
      </c>
      <c r="O348" t="str">
        <f t="shared" si="23"/>
        <v>Low</v>
      </c>
    </row>
    <row r="349" spans="1:15" x14ac:dyDescent="0.2">
      <c r="A349" t="s">
        <v>389</v>
      </c>
      <c r="B349" s="1">
        <v>46176</v>
      </c>
      <c r="C349" t="s">
        <v>37</v>
      </c>
      <c r="D349" t="s">
        <v>13</v>
      </c>
      <c r="E349" t="s">
        <v>14</v>
      </c>
      <c r="F349" t="s">
        <v>15</v>
      </c>
      <c r="G349" t="s">
        <v>16</v>
      </c>
      <c r="H349" s="1">
        <v>46177</v>
      </c>
      <c r="I349" s="1">
        <v>46177</v>
      </c>
      <c r="J349" t="s">
        <v>17</v>
      </c>
      <c r="K349">
        <v>18</v>
      </c>
      <c r="L349" s="2">
        <f t="shared" si="20"/>
        <v>0</v>
      </c>
      <c r="M349" t="str">
        <f t="shared" si="21"/>
        <v>Met</v>
      </c>
      <c r="N349">
        <f t="shared" si="22"/>
        <v>1</v>
      </c>
      <c r="O349" t="str">
        <f t="shared" si="23"/>
        <v>Low</v>
      </c>
    </row>
    <row r="350" spans="1:15" x14ac:dyDescent="0.2">
      <c r="A350" t="s">
        <v>390</v>
      </c>
      <c r="B350" s="1">
        <v>46176</v>
      </c>
      <c r="C350" t="s">
        <v>12</v>
      </c>
      <c r="D350" t="s">
        <v>20</v>
      </c>
      <c r="E350" t="s">
        <v>14</v>
      </c>
      <c r="F350" t="s">
        <v>29</v>
      </c>
      <c r="G350" t="s">
        <v>16</v>
      </c>
      <c r="H350" s="1">
        <v>46177</v>
      </c>
      <c r="I350" s="1">
        <v>46177</v>
      </c>
      <c r="J350" t="s">
        <v>17</v>
      </c>
      <c r="K350">
        <v>1</v>
      </c>
      <c r="L350" s="2">
        <f t="shared" si="20"/>
        <v>0</v>
      </c>
      <c r="M350" t="str">
        <f t="shared" si="21"/>
        <v>Met</v>
      </c>
      <c r="N350">
        <f t="shared" si="22"/>
        <v>1</v>
      </c>
      <c r="O350" t="str">
        <f t="shared" si="23"/>
        <v>Low</v>
      </c>
    </row>
    <row r="351" spans="1:15" x14ac:dyDescent="0.2">
      <c r="A351" t="s">
        <v>391</v>
      </c>
      <c r="B351" s="1">
        <v>46176</v>
      </c>
      <c r="C351" t="s">
        <v>24</v>
      </c>
      <c r="D351" t="s">
        <v>34</v>
      </c>
      <c r="E351" t="s">
        <v>14</v>
      </c>
      <c r="F351" t="s">
        <v>35</v>
      </c>
      <c r="G351" t="s">
        <v>22</v>
      </c>
      <c r="H351" s="1">
        <v>46178</v>
      </c>
      <c r="I351" s="1">
        <v>46179</v>
      </c>
      <c r="J351" t="s">
        <v>42</v>
      </c>
      <c r="K351">
        <v>25</v>
      </c>
      <c r="L351" s="2">
        <f t="shared" si="20"/>
        <v>1</v>
      </c>
      <c r="M351" t="str">
        <f t="shared" si="21"/>
        <v>Breached</v>
      </c>
      <c r="N351">
        <f t="shared" si="22"/>
        <v>0</v>
      </c>
      <c r="O351" t="str">
        <f t="shared" si="23"/>
        <v>Medium</v>
      </c>
    </row>
    <row r="352" spans="1:15" x14ac:dyDescent="0.2">
      <c r="A352" t="s">
        <v>392</v>
      </c>
      <c r="B352" s="1">
        <v>46176</v>
      </c>
      <c r="C352" t="s">
        <v>37</v>
      </c>
      <c r="D352" t="s">
        <v>39</v>
      </c>
      <c r="E352" t="s">
        <v>26</v>
      </c>
      <c r="F352" t="s">
        <v>29</v>
      </c>
      <c r="G352" t="s">
        <v>14</v>
      </c>
      <c r="H352" s="1">
        <v>46179</v>
      </c>
      <c r="I352" s="1">
        <v>46179</v>
      </c>
      <c r="J352" t="s">
        <v>17</v>
      </c>
      <c r="K352">
        <v>18</v>
      </c>
      <c r="L352" s="2">
        <f t="shared" si="20"/>
        <v>0</v>
      </c>
      <c r="M352" t="str">
        <f t="shared" si="21"/>
        <v>Met</v>
      </c>
      <c r="N352">
        <f t="shared" si="22"/>
        <v>1</v>
      </c>
      <c r="O352" t="str">
        <f t="shared" si="23"/>
        <v>Low</v>
      </c>
    </row>
    <row r="353" spans="1:15" x14ac:dyDescent="0.2">
      <c r="A353" t="s">
        <v>393</v>
      </c>
      <c r="B353" s="1">
        <v>46176</v>
      </c>
      <c r="C353" t="s">
        <v>48</v>
      </c>
      <c r="D353" t="s">
        <v>25</v>
      </c>
      <c r="E353" t="s">
        <v>26</v>
      </c>
      <c r="F353" t="s">
        <v>35</v>
      </c>
      <c r="G353" t="s">
        <v>22</v>
      </c>
      <c r="H353" s="1">
        <v>46178</v>
      </c>
      <c r="I353" s="1">
        <v>46178</v>
      </c>
      <c r="J353" t="s">
        <v>17</v>
      </c>
      <c r="K353">
        <v>8</v>
      </c>
      <c r="L353" s="2">
        <f t="shared" si="20"/>
        <v>0</v>
      </c>
      <c r="M353" t="str">
        <f t="shared" si="21"/>
        <v>Met</v>
      </c>
      <c r="N353">
        <f t="shared" si="22"/>
        <v>1</v>
      </c>
      <c r="O353" t="str">
        <f t="shared" si="23"/>
        <v>Low</v>
      </c>
    </row>
    <row r="354" spans="1:15" x14ac:dyDescent="0.2">
      <c r="A354" t="s">
        <v>394</v>
      </c>
      <c r="B354" s="1">
        <v>46176</v>
      </c>
      <c r="C354" t="s">
        <v>48</v>
      </c>
      <c r="D354" t="s">
        <v>28</v>
      </c>
      <c r="E354" t="s">
        <v>26</v>
      </c>
      <c r="F354" t="s">
        <v>15</v>
      </c>
      <c r="G354" t="s">
        <v>22</v>
      </c>
      <c r="H354" s="1">
        <v>46178</v>
      </c>
      <c r="I354" s="1">
        <v>46178</v>
      </c>
      <c r="J354" t="s">
        <v>17</v>
      </c>
      <c r="K354">
        <v>7</v>
      </c>
      <c r="L354" s="2">
        <f t="shared" si="20"/>
        <v>0</v>
      </c>
      <c r="M354" t="str">
        <f t="shared" si="21"/>
        <v>Met</v>
      </c>
      <c r="N354">
        <f t="shared" si="22"/>
        <v>1</v>
      </c>
      <c r="O354" t="str">
        <f t="shared" si="23"/>
        <v>Low</v>
      </c>
    </row>
    <row r="355" spans="1:15" x14ac:dyDescent="0.2">
      <c r="A355" t="s">
        <v>395</v>
      </c>
      <c r="B355" s="1">
        <v>46177</v>
      </c>
      <c r="C355" t="s">
        <v>48</v>
      </c>
      <c r="D355" t="s">
        <v>39</v>
      </c>
      <c r="E355" t="s">
        <v>26</v>
      </c>
      <c r="F355" t="s">
        <v>75</v>
      </c>
      <c r="G355" t="s">
        <v>22</v>
      </c>
      <c r="H355" s="1">
        <v>46179</v>
      </c>
      <c r="I355" s="1">
        <v>46179</v>
      </c>
      <c r="J355" t="s">
        <v>17</v>
      </c>
      <c r="K355">
        <v>2</v>
      </c>
      <c r="L355" s="2">
        <f t="shared" si="20"/>
        <v>0</v>
      </c>
      <c r="M355" t="str">
        <f t="shared" si="21"/>
        <v>Met</v>
      </c>
      <c r="N355">
        <f t="shared" si="22"/>
        <v>1</v>
      </c>
      <c r="O355" t="str">
        <f t="shared" si="23"/>
        <v>Low</v>
      </c>
    </row>
    <row r="356" spans="1:15" x14ac:dyDescent="0.2">
      <c r="A356" t="s">
        <v>396</v>
      </c>
      <c r="B356" s="1">
        <v>46177</v>
      </c>
      <c r="C356" t="s">
        <v>19</v>
      </c>
      <c r="D356" t="s">
        <v>46</v>
      </c>
      <c r="E356" t="s">
        <v>14</v>
      </c>
      <c r="F356" t="s">
        <v>31</v>
      </c>
      <c r="G356" t="s">
        <v>16</v>
      </c>
      <c r="H356" s="1">
        <v>46178</v>
      </c>
      <c r="I356" s="1">
        <v>46178</v>
      </c>
      <c r="J356" t="s">
        <v>17</v>
      </c>
      <c r="K356">
        <v>34</v>
      </c>
      <c r="L356" s="2">
        <f t="shared" si="20"/>
        <v>0</v>
      </c>
      <c r="M356" t="str">
        <f t="shared" si="21"/>
        <v>Met</v>
      </c>
      <c r="N356">
        <f t="shared" si="22"/>
        <v>1</v>
      </c>
      <c r="O356" t="str">
        <f t="shared" si="23"/>
        <v>Low</v>
      </c>
    </row>
    <row r="357" spans="1:15" x14ac:dyDescent="0.2">
      <c r="A357" t="s">
        <v>397</v>
      </c>
      <c r="B357" s="1">
        <v>46177</v>
      </c>
      <c r="C357" t="s">
        <v>33</v>
      </c>
      <c r="D357" t="s">
        <v>67</v>
      </c>
      <c r="E357" t="s">
        <v>14</v>
      </c>
      <c r="F357" t="s">
        <v>75</v>
      </c>
      <c r="G357" t="s">
        <v>16</v>
      </c>
      <c r="H357" s="1">
        <v>46178</v>
      </c>
      <c r="I357" s="1">
        <v>46178</v>
      </c>
      <c r="J357" t="s">
        <v>17</v>
      </c>
      <c r="K357">
        <v>26</v>
      </c>
      <c r="L357" s="2">
        <f t="shared" si="20"/>
        <v>0</v>
      </c>
      <c r="M357" t="str">
        <f t="shared" si="21"/>
        <v>Met</v>
      </c>
      <c r="N357">
        <f t="shared" si="22"/>
        <v>1</v>
      </c>
      <c r="O357" t="str">
        <f t="shared" si="23"/>
        <v>Low</v>
      </c>
    </row>
    <row r="358" spans="1:15" x14ac:dyDescent="0.2">
      <c r="A358" t="s">
        <v>398</v>
      </c>
      <c r="B358" s="1">
        <v>46177</v>
      </c>
      <c r="C358" t="s">
        <v>19</v>
      </c>
      <c r="D358" t="s">
        <v>39</v>
      </c>
      <c r="E358" t="s">
        <v>26</v>
      </c>
      <c r="F358" t="s">
        <v>31</v>
      </c>
      <c r="G358" t="s">
        <v>22</v>
      </c>
      <c r="H358" s="1">
        <v>46179</v>
      </c>
      <c r="I358" s="1">
        <v>46179</v>
      </c>
      <c r="J358" t="s">
        <v>17</v>
      </c>
      <c r="K358">
        <v>11</v>
      </c>
      <c r="L358" s="2">
        <f t="shared" si="20"/>
        <v>0</v>
      </c>
      <c r="M358" t="str">
        <f t="shared" si="21"/>
        <v>Met</v>
      </c>
      <c r="N358">
        <f t="shared" si="22"/>
        <v>1</v>
      </c>
      <c r="O358" t="str">
        <f t="shared" si="23"/>
        <v>Low</v>
      </c>
    </row>
    <row r="359" spans="1:15" x14ac:dyDescent="0.2">
      <c r="A359" t="s">
        <v>399</v>
      </c>
      <c r="B359" s="1">
        <v>46178</v>
      </c>
      <c r="C359" t="s">
        <v>37</v>
      </c>
      <c r="D359" t="s">
        <v>49</v>
      </c>
      <c r="E359" t="s">
        <v>26</v>
      </c>
      <c r="F359" t="s">
        <v>35</v>
      </c>
      <c r="G359" t="s">
        <v>14</v>
      </c>
      <c r="H359" s="1">
        <v>46181</v>
      </c>
      <c r="I359" s="1">
        <v>46181</v>
      </c>
      <c r="J359" t="s">
        <v>17</v>
      </c>
      <c r="K359">
        <v>36</v>
      </c>
      <c r="L359" s="2">
        <f t="shared" si="20"/>
        <v>0</v>
      </c>
      <c r="M359" t="str">
        <f t="shared" si="21"/>
        <v>Met</v>
      </c>
      <c r="N359">
        <f t="shared" si="22"/>
        <v>1</v>
      </c>
      <c r="O359" t="str">
        <f t="shared" si="23"/>
        <v>Low</v>
      </c>
    </row>
    <row r="360" spans="1:15" x14ac:dyDescent="0.2">
      <c r="A360" t="s">
        <v>400</v>
      </c>
      <c r="B360" s="1">
        <v>46178</v>
      </c>
      <c r="C360" t="s">
        <v>19</v>
      </c>
      <c r="D360" t="s">
        <v>13</v>
      </c>
      <c r="E360" t="s">
        <v>14</v>
      </c>
      <c r="F360" t="s">
        <v>15</v>
      </c>
      <c r="G360" t="s">
        <v>14</v>
      </c>
      <c r="H360" s="1">
        <v>46181</v>
      </c>
      <c r="I360" s="1">
        <v>46181</v>
      </c>
      <c r="J360" t="s">
        <v>17</v>
      </c>
      <c r="K360">
        <v>3</v>
      </c>
      <c r="L360" s="2">
        <f t="shared" si="20"/>
        <v>0</v>
      </c>
      <c r="M360" t="str">
        <f t="shared" si="21"/>
        <v>Met</v>
      </c>
      <c r="N360">
        <f t="shared" si="22"/>
        <v>1</v>
      </c>
      <c r="O360" t="str">
        <f t="shared" si="23"/>
        <v>Low</v>
      </c>
    </row>
    <row r="361" spans="1:15" x14ac:dyDescent="0.2">
      <c r="A361" t="s">
        <v>401</v>
      </c>
      <c r="B361" s="1">
        <v>46178</v>
      </c>
      <c r="C361" t="s">
        <v>19</v>
      </c>
      <c r="D361" t="s">
        <v>34</v>
      </c>
      <c r="E361" t="s">
        <v>14</v>
      </c>
      <c r="F361" t="s">
        <v>31</v>
      </c>
      <c r="G361" t="s">
        <v>22</v>
      </c>
      <c r="H361" s="1">
        <v>46180</v>
      </c>
      <c r="I361" s="1">
        <v>46180</v>
      </c>
      <c r="J361" t="s">
        <v>17</v>
      </c>
      <c r="K361">
        <v>23</v>
      </c>
      <c r="L361" s="2">
        <f t="shared" si="20"/>
        <v>0</v>
      </c>
      <c r="M361" t="str">
        <f t="shared" si="21"/>
        <v>Met</v>
      </c>
      <c r="N361">
        <f t="shared" si="22"/>
        <v>1</v>
      </c>
      <c r="O361" t="str">
        <f t="shared" si="23"/>
        <v>Low</v>
      </c>
    </row>
    <row r="362" spans="1:15" x14ac:dyDescent="0.2">
      <c r="A362" t="s">
        <v>402</v>
      </c>
      <c r="B362" s="1">
        <v>46179</v>
      </c>
      <c r="C362" t="s">
        <v>12</v>
      </c>
      <c r="D362" t="s">
        <v>41</v>
      </c>
      <c r="E362" t="s">
        <v>14</v>
      </c>
      <c r="F362" t="s">
        <v>21</v>
      </c>
      <c r="G362" t="s">
        <v>22</v>
      </c>
      <c r="H362" s="1">
        <v>46181</v>
      </c>
      <c r="I362" s="1">
        <v>46181</v>
      </c>
      <c r="J362" t="s">
        <v>17</v>
      </c>
      <c r="K362">
        <v>11</v>
      </c>
      <c r="L362" s="2">
        <f t="shared" si="20"/>
        <v>0</v>
      </c>
      <c r="M362" t="str">
        <f t="shared" si="21"/>
        <v>Met</v>
      </c>
      <c r="N362">
        <f t="shared" si="22"/>
        <v>1</v>
      </c>
      <c r="O362" t="str">
        <f t="shared" si="23"/>
        <v>Low</v>
      </c>
    </row>
    <row r="363" spans="1:15" x14ac:dyDescent="0.2">
      <c r="A363" t="s">
        <v>403</v>
      </c>
      <c r="B363" s="1">
        <v>46179</v>
      </c>
      <c r="C363" t="s">
        <v>12</v>
      </c>
      <c r="D363" t="s">
        <v>20</v>
      </c>
      <c r="E363" t="s">
        <v>14</v>
      </c>
      <c r="F363" t="s">
        <v>21</v>
      </c>
      <c r="G363" t="s">
        <v>16</v>
      </c>
      <c r="H363" s="1">
        <v>46180</v>
      </c>
      <c r="I363" s="1">
        <v>46180</v>
      </c>
      <c r="J363" t="s">
        <v>17</v>
      </c>
      <c r="K363">
        <v>33</v>
      </c>
      <c r="L363" s="2">
        <f t="shared" si="20"/>
        <v>0</v>
      </c>
      <c r="M363" t="str">
        <f t="shared" si="21"/>
        <v>Met</v>
      </c>
      <c r="N363">
        <f t="shared" si="22"/>
        <v>1</v>
      </c>
      <c r="O363" t="str">
        <f t="shared" si="23"/>
        <v>Low</v>
      </c>
    </row>
    <row r="364" spans="1:15" x14ac:dyDescent="0.2">
      <c r="A364" t="s">
        <v>404</v>
      </c>
      <c r="B364" s="1">
        <v>46179</v>
      </c>
      <c r="C364" t="s">
        <v>19</v>
      </c>
      <c r="D364" t="s">
        <v>46</v>
      </c>
      <c r="E364" t="s">
        <v>14</v>
      </c>
      <c r="F364" t="s">
        <v>75</v>
      </c>
      <c r="G364" t="s">
        <v>14</v>
      </c>
      <c r="H364" s="1">
        <v>46182</v>
      </c>
      <c r="I364" s="1">
        <v>46181</v>
      </c>
      <c r="J364" t="s">
        <v>17</v>
      </c>
      <c r="K364">
        <v>20</v>
      </c>
      <c r="L364" s="2">
        <f t="shared" si="20"/>
        <v>-1</v>
      </c>
      <c r="M364" t="str">
        <f t="shared" si="21"/>
        <v>Met</v>
      </c>
      <c r="N364">
        <f t="shared" si="22"/>
        <v>1</v>
      </c>
      <c r="O364" t="str">
        <f t="shared" si="23"/>
        <v>Low</v>
      </c>
    </row>
    <row r="365" spans="1:15" x14ac:dyDescent="0.2">
      <c r="A365" t="s">
        <v>405</v>
      </c>
      <c r="B365" s="1">
        <v>46179</v>
      </c>
      <c r="C365" t="s">
        <v>33</v>
      </c>
      <c r="D365" t="s">
        <v>67</v>
      </c>
      <c r="E365" t="s">
        <v>14</v>
      </c>
      <c r="F365" t="s">
        <v>15</v>
      </c>
      <c r="G365" t="s">
        <v>14</v>
      </c>
      <c r="H365" s="1">
        <v>46182</v>
      </c>
      <c r="I365" s="1">
        <v>46182</v>
      </c>
      <c r="J365" t="s">
        <v>17</v>
      </c>
      <c r="K365">
        <v>8</v>
      </c>
      <c r="L365" s="2">
        <f t="shared" si="20"/>
        <v>0</v>
      </c>
      <c r="M365" t="str">
        <f t="shared" si="21"/>
        <v>Met</v>
      </c>
      <c r="N365">
        <f t="shared" si="22"/>
        <v>1</v>
      </c>
      <c r="O365" t="str">
        <f t="shared" si="23"/>
        <v>Low</v>
      </c>
    </row>
    <row r="366" spans="1:15" x14ac:dyDescent="0.2">
      <c r="A366" t="s">
        <v>406</v>
      </c>
      <c r="B366" s="1">
        <v>46179</v>
      </c>
      <c r="C366" t="s">
        <v>24</v>
      </c>
      <c r="D366" t="s">
        <v>25</v>
      </c>
      <c r="E366" t="s">
        <v>26</v>
      </c>
      <c r="F366" t="s">
        <v>35</v>
      </c>
      <c r="G366" t="s">
        <v>14</v>
      </c>
      <c r="H366" s="1">
        <v>46182</v>
      </c>
      <c r="I366" s="1">
        <v>46182</v>
      </c>
      <c r="J366" t="s">
        <v>17</v>
      </c>
      <c r="K366">
        <v>35</v>
      </c>
      <c r="L366" s="2">
        <f t="shared" si="20"/>
        <v>0</v>
      </c>
      <c r="M366" t="str">
        <f t="shared" si="21"/>
        <v>Met</v>
      </c>
      <c r="N366">
        <f t="shared" si="22"/>
        <v>1</v>
      </c>
      <c r="O366" t="str">
        <f t="shared" si="23"/>
        <v>Low</v>
      </c>
    </row>
    <row r="367" spans="1:15" x14ac:dyDescent="0.2">
      <c r="A367" t="s">
        <v>407</v>
      </c>
      <c r="B367" s="1">
        <v>46179</v>
      </c>
      <c r="C367" t="s">
        <v>24</v>
      </c>
      <c r="D367" t="s">
        <v>41</v>
      </c>
      <c r="E367" t="s">
        <v>14</v>
      </c>
      <c r="F367" t="s">
        <v>35</v>
      </c>
      <c r="G367" t="s">
        <v>22</v>
      </c>
      <c r="H367" s="1">
        <v>46181</v>
      </c>
      <c r="I367" s="1">
        <v>46181</v>
      </c>
      <c r="J367" t="s">
        <v>17</v>
      </c>
      <c r="K367">
        <v>19</v>
      </c>
      <c r="L367" s="2">
        <f t="shared" si="20"/>
        <v>0</v>
      </c>
      <c r="M367" t="str">
        <f t="shared" si="21"/>
        <v>Met</v>
      </c>
      <c r="N367">
        <f t="shared" si="22"/>
        <v>1</v>
      </c>
      <c r="O367" t="str">
        <f t="shared" si="23"/>
        <v>Low</v>
      </c>
    </row>
    <row r="368" spans="1:15" x14ac:dyDescent="0.2">
      <c r="A368" t="s">
        <v>408</v>
      </c>
      <c r="B368" s="1">
        <v>46179</v>
      </c>
      <c r="C368" t="s">
        <v>19</v>
      </c>
      <c r="D368" t="s">
        <v>49</v>
      </c>
      <c r="E368" t="s">
        <v>26</v>
      </c>
      <c r="F368" t="s">
        <v>15</v>
      </c>
      <c r="G368" t="s">
        <v>16</v>
      </c>
      <c r="H368" s="1">
        <v>46180</v>
      </c>
      <c r="I368" s="1">
        <v>46179</v>
      </c>
      <c r="J368" t="s">
        <v>17</v>
      </c>
      <c r="K368">
        <v>12</v>
      </c>
      <c r="L368" s="2">
        <f t="shared" si="20"/>
        <v>-1</v>
      </c>
      <c r="M368" t="str">
        <f t="shared" si="21"/>
        <v>Met</v>
      </c>
      <c r="N368">
        <f t="shared" si="22"/>
        <v>1</v>
      </c>
      <c r="O368" t="str">
        <f t="shared" si="23"/>
        <v>Low</v>
      </c>
    </row>
    <row r="369" spans="1:15" x14ac:dyDescent="0.2">
      <c r="A369" t="s">
        <v>409</v>
      </c>
      <c r="B369" s="1">
        <v>46180</v>
      </c>
      <c r="C369" t="s">
        <v>24</v>
      </c>
      <c r="D369" t="s">
        <v>28</v>
      </c>
      <c r="E369" t="s">
        <v>26</v>
      </c>
      <c r="F369" t="s">
        <v>75</v>
      </c>
      <c r="G369" t="s">
        <v>22</v>
      </c>
      <c r="H369" s="1">
        <v>46182</v>
      </c>
      <c r="I369" s="1">
        <v>46185</v>
      </c>
      <c r="J369" t="s">
        <v>42</v>
      </c>
      <c r="K369">
        <v>7</v>
      </c>
      <c r="L369" s="2">
        <f t="shared" si="20"/>
        <v>3</v>
      </c>
      <c r="M369" t="str">
        <f t="shared" si="21"/>
        <v>Breached</v>
      </c>
      <c r="N369">
        <f t="shared" si="22"/>
        <v>0</v>
      </c>
      <c r="O369" t="str">
        <f t="shared" si="23"/>
        <v>High</v>
      </c>
    </row>
    <row r="370" spans="1:15" x14ac:dyDescent="0.2">
      <c r="A370" t="s">
        <v>410</v>
      </c>
      <c r="B370" s="1">
        <v>46180</v>
      </c>
      <c r="C370" t="s">
        <v>12</v>
      </c>
      <c r="D370" t="s">
        <v>13</v>
      </c>
      <c r="E370" t="s">
        <v>14</v>
      </c>
      <c r="F370" t="s">
        <v>15</v>
      </c>
      <c r="G370" t="s">
        <v>22</v>
      </c>
      <c r="H370" s="1">
        <v>46182</v>
      </c>
      <c r="I370" s="1">
        <v>46182</v>
      </c>
      <c r="J370" t="s">
        <v>17</v>
      </c>
      <c r="K370">
        <v>32</v>
      </c>
      <c r="L370" s="2">
        <f t="shared" si="20"/>
        <v>0</v>
      </c>
      <c r="M370" t="str">
        <f t="shared" si="21"/>
        <v>Met</v>
      </c>
      <c r="N370">
        <f t="shared" si="22"/>
        <v>1</v>
      </c>
      <c r="O370" t="str">
        <f t="shared" si="23"/>
        <v>Low</v>
      </c>
    </row>
    <row r="371" spans="1:15" x14ac:dyDescent="0.2">
      <c r="A371" t="s">
        <v>411</v>
      </c>
      <c r="B371" s="1">
        <v>46180</v>
      </c>
      <c r="C371" t="s">
        <v>19</v>
      </c>
      <c r="D371" t="s">
        <v>67</v>
      </c>
      <c r="E371" t="s">
        <v>14</v>
      </c>
      <c r="F371" t="s">
        <v>31</v>
      </c>
      <c r="G371" t="s">
        <v>14</v>
      </c>
      <c r="H371" s="1">
        <v>46183</v>
      </c>
      <c r="I371" s="1">
        <v>46183</v>
      </c>
      <c r="J371" t="s">
        <v>17</v>
      </c>
      <c r="K371">
        <v>19</v>
      </c>
      <c r="L371" s="2">
        <f t="shared" si="20"/>
        <v>0</v>
      </c>
      <c r="M371" t="str">
        <f t="shared" si="21"/>
        <v>Met</v>
      </c>
      <c r="N371">
        <f t="shared" si="22"/>
        <v>1</v>
      </c>
      <c r="O371" t="str">
        <f t="shared" si="23"/>
        <v>Low</v>
      </c>
    </row>
    <row r="372" spans="1:15" x14ac:dyDescent="0.2">
      <c r="A372" t="s">
        <v>412</v>
      </c>
      <c r="B372" s="1">
        <v>46180</v>
      </c>
      <c r="C372" t="s">
        <v>12</v>
      </c>
      <c r="D372" t="s">
        <v>34</v>
      </c>
      <c r="E372" t="s">
        <v>14</v>
      </c>
      <c r="F372" t="s">
        <v>75</v>
      </c>
      <c r="G372" t="s">
        <v>14</v>
      </c>
      <c r="H372" s="1">
        <v>46183</v>
      </c>
      <c r="I372" s="1">
        <v>46183</v>
      </c>
      <c r="J372" t="s">
        <v>17</v>
      </c>
      <c r="K372">
        <v>5</v>
      </c>
      <c r="L372" s="2">
        <f t="shared" si="20"/>
        <v>0</v>
      </c>
      <c r="M372" t="str">
        <f t="shared" si="21"/>
        <v>Met</v>
      </c>
      <c r="N372">
        <f t="shared" si="22"/>
        <v>1</v>
      </c>
      <c r="O372" t="str">
        <f t="shared" si="23"/>
        <v>Low</v>
      </c>
    </row>
    <row r="373" spans="1:15" x14ac:dyDescent="0.2">
      <c r="A373" t="s">
        <v>413</v>
      </c>
      <c r="B373" s="1">
        <v>46180</v>
      </c>
      <c r="C373" t="s">
        <v>37</v>
      </c>
      <c r="D373" t="s">
        <v>25</v>
      </c>
      <c r="E373" t="s">
        <v>26</v>
      </c>
      <c r="F373" t="s">
        <v>35</v>
      </c>
      <c r="G373" t="s">
        <v>22</v>
      </c>
      <c r="H373" s="1">
        <v>46182</v>
      </c>
      <c r="I373" s="1">
        <v>46182</v>
      </c>
      <c r="J373" t="s">
        <v>17</v>
      </c>
      <c r="K373">
        <v>29</v>
      </c>
      <c r="L373" s="2">
        <f t="shared" si="20"/>
        <v>0</v>
      </c>
      <c r="M373" t="str">
        <f t="shared" si="21"/>
        <v>Met</v>
      </c>
      <c r="N373">
        <f t="shared" si="22"/>
        <v>1</v>
      </c>
      <c r="O373" t="str">
        <f t="shared" si="23"/>
        <v>Low</v>
      </c>
    </row>
    <row r="374" spans="1:15" x14ac:dyDescent="0.2">
      <c r="A374" t="s">
        <v>414</v>
      </c>
      <c r="B374" s="1">
        <v>46180</v>
      </c>
      <c r="C374" t="s">
        <v>12</v>
      </c>
      <c r="D374" t="s">
        <v>34</v>
      </c>
      <c r="E374" t="s">
        <v>14</v>
      </c>
      <c r="F374" t="s">
        <v>29</v>
      </c>
      <c r="G374" t="s">
        <v>22</v>
      </c>
      <c r="H374" s="1">
        <v>46182</v>
      </c>
      <c r="I374" s="1">
        <v>46184</v>
      </c>
      <c r="J374" t="s">
        <v>42</v>
      </c>
      <c r="K374">
        <v>2</v>
      </c>
      <c r="L374" s="2">
        <f t="shared" si="20"/>
        <v>2</v>
      </c>
      <c r="M374" t="str">
        <f t="shared" si="21"/>
        <v>Breached</v>
      </c>
      <c r="N374">
        <f t="shared" si="22"/>
        <v>0</v>
      </c>
      <c r="O374" t="str">
        <f t="shared" si="23"/>
        <v>Medium</v>
      </c>
    </row>
    <row r="375" spans="1:15" x14ac:dyDescent="0.2">
      <c r="A375" t="s">
        <v>415</v>
      </c>
      <c r="B375" s="1">
        <v>46180</v>
      </c>
      <c r="C375" t="s">
        <v>37</v>
      </c>
      <c r="D375" t="s">
        <v>39</v>
      </c>
      <c r="E375" t="s">
        <v>26</v>
      </c>
      <c r="F375" t="s">
        <v>75</v>
      </c>
      <c r="G375" t="s">
        <v>14</v>
      </c>
      <c r="H375" s="1">
        <v>46183</v>
      </c>
      <c r="I375" s="1">
        <v>46183</v>
      </c>
      <c r="J375" t="s">
        <v>17</v>
      </c>
      <c r="K375">
        <v>18</v>
      </c>
      <c r="L375" s="2">
        <f t="shared" si="20"/>
        <v>0</v>
      </c>
      <c r="M375" t="str">
        <f t="shared" si="21"/>
        <v>Met</v>
      </c>
      <c r="N375">
        <f t="shared" si="22"/>
        <v>1</v>
      </c>
      <c r="O375" t="str">
        <f t="shared" si="23"/>
        <v>Low</v>
      </c>
    </row>
    <row r="376" spans="1:15" x14ac:dyDescent="0.2">
      <c r="A376" t="s">
        <v>416</v>
      </c>
      <c r="B376" s="1">
        <v>46181</v>
      </c>
      <c r="C376" t="s">
        <v>24</v>
      </c>
      <c r="D376" t="s">
        <v>25</v>
      </c>
      <c r="E376" t="s">
        <v>26</v>
      </c>
      <c r="F376" t="s">
        <v>35</v>
      </c>
      <c r="G376" t="s">
        <v>14</v>
      </c>
      <c r="H376" s="1">
        <v>46184</v>
      </c>
      <c r="I376" s="1">
        <v>46185</v>
      </c>
      <c r="J376" t="s">
        <v>42</v>
      </c>
      <c r="K376">
        <v>2</v>
      </c>
      <c r="L376" s="2">
        <f t="shared" si="20"/>
        <v>1</v>
      </c>
      <c r="M376" t="str">
        <f t="shared" si="21"/>
        <v>Breached</v>
      </c>
      <c r="N376">
        <f t="shared" si="22"/>
        <v>0</v>
      </c>
      <c r="O376" t="str">
        <f t="shared" si="23"/>
        <v>High</v>
      </c>
    </row>
    <row r="377" spans="1:15" x14ac:dyDescent="0.2">
      <c r="A377" t="s">
        <v>417</v>
      </c>
      <c r="B377" s="1">
        <v>46181</v>
      </c>
      <c r="C377" t="s">
        <v>19</v>
      </c>
      <c r="D377" t="s">
        <v>13</v>
      </c>
      <c r="E377" t="s">
        <v>14</v>
      </c>
      <c r="F377" t="s">
        <v>75</v>
      </c>
      <c r="G377" t="s">
        <v>22</v>
      </c>
      <c r="H377" s="1">
        <v>46183</v>
      </c>
      <c r="I377" s="1">
        <v>46183</v>
      </c>
      <c r="J377" t="s">
        <v>17</v>
      </c>
      <c r="K377">
        <v>31</v>
      </c>
      <c r="L377" s="2">
        <f t="shared" si="20"/>
        <v>0</v>
      </c>
      <c r="M377" t="str">
        <f t="shared" si="21"/>
        <v>Met</v>
      </c>
      <c r="N377">
        <f t="shared" si="22"/>
        <v>1</v>
      </c>
      <c r="O377" t="str">
        <f t="shared" si="23"/>
        <v>Low</v>
      </c>
    </row>
    <row r="378" spans="1:15" x14ac:dyDescent="0.2">
      <c r="A378" t="s">
        <v>418</v>
      </c>
      <c r="B378" s="1">
        <v>46181</v>
      </c>
      <c r="C378" t="s">
        <v>33</v>
      </c>
      <c r="D378" t="s">
        <v>46</v>
      </c>
      <c r="E378" t="s">
        <v>14</v>
      </c>
      <c r="F378" t="s">
        <v>31</v>
      </c>
      <c r="G378" t="s">
        <v>16</v>
      </c>
      <c r="H378" s="1">
        <v>46182</v>
      </c>
      <c r="I378" s="1">
        <v>46182</v>
      </c>
      <c r="J378" t="s">
        <v>17</v>
      </c>
      <c r="K378">
        <v>33</v>
      </c>
      <c r="L378" s="2">
        <f t="shared" si="20"/>
        <v>0</v>
      </c>
      <c r="M378" t="str">
        <f t="shared" si="21"/>
        <v>Met</v>
      </c>
      <c r="N378">
        <f t="shared" si="22"/>
        <v>1</v>
      </c>
      <c r="O378" t="str">
        <f t="shared" si="23"/>
        <v>Low</v>
      </c>
    </row>
    <row r="379" spans="1:15" x14ac:dyDescent="0.2">
      <c r="A379" t="s">
        <v>419</v>
      </c>
      <c r="B379" s="1">
        <v>46181</v>
      </c>
      <c r="C379" t="s">
        <v>12</v>
      </c>
      <c r="D379" t="s">
        <v>49</v>
      </c>
      <c r="E379" t="s">
        <v>26</v>
      </c>
      <c r="F379" t="s">
        <v>75</v>
      </c>
      <c r="G379" t="s">
        <v>16</v>
      </c>
      <c r="H379" s="1">
        <v>46182</v>
      </c>
      <c r="I379" s="1">
        <v>46182</v>
      </c>
      <c r="J379" t="s">
        <v>17</v>
      </c>
      <c r="K379">
        <v>21</v>
      </c>
      <c r="L379" s="2">
        <f t="shared" si="20"/>
        <v>0</v>
      </c>
      <c r="M379" t="str">
        <f t="shared" si="21"/>
        <v>Met</v>
      </c>
      <c r="N379">
        <f t="shared" si="22"/>
        <v>1</v>
      </c>
      <c r="O379" t="str">
        <f t="shared" si="23"/>
        <v>Low</v>
      </c>
    </row>
    <row r="380" spans="1:15" x14ac:dyDescent="0.2">
      <c r="A380" t="s">
        <v>420</v>
      </c>
      <c r="B380" s="1">
        <v>46181</v>
      </c>
      <c r="C380" t="s">
        <v>19</v>
      </c>
      <c r="D380" t="s">
        <v>49</v>
      </c>
      <c r="E380" t="s">
        <v>26</v>
      </c>
      <c r="F380" t="s">
        <v>21</v>
      </c>
      <c r="G380" t="s">
        <v>22</v>
      </c>
      <c r="H380" s="1">
        <v>46183</v>
      </c>
      <c r="I380" s="1">
        <v>46182</v>
      </c>
      <c r="J380" t="s">
        <v>17</v>
      </c>
      <c r="K380">
        <v>7</v>
      </c>
      <c r="L380" s="2">
        <f t="shared" si="20"/>
        <v>-1</v>
      </c>
      <c r="M380" t="str">
        <f t="shared" si="21"/>
        <v>Met</v>
      </c>
      <c r="N380">
        <f t="shared" si="22"/>
        <v>1</v>
      </c>
      <c r="O380" t="str">
        <f t="shared" si="23"/>
        <v>Low</v>
      </c>
    </row>
    <row r="381" spans="1:15" x14ac:dyDescent="0.2">
      <c r="A381" t="s">
        <v>421</v>
      </c>
      <c r="B381" s="1">
        <v>46182</v>
      </c>
      <c r="C381" t="s">
        <v>19</v>
      </c>
      <c r="D381" t="s">
        <v>39</v>
      </c>
      <c r="E381" t="s">
        <v>26</v>
      </c>
      <c r="F381" t="s">
        <v>31</v>
      </c>
      <c r="G381" t="s">
        <v>22</v>
      </c>
      <c r="H381" s="1">
        <v>46184</v>
      </c>
      <c r="I381" s="1">
        <v>46183</v>
      </c>
      <c r="J381" t="s">
        <v>17</v>
      </c>
      <c r="K381">
        <v>16</v>
      </c>
      <c r="L381" s="2">
        <f t="shared" si="20"/>
        <v>-1</v>
      </c>
      <c r="M381" t="str">
        <f t="shared" si="21"/>
        <v>Met</v>
      </c>
      <c r="N381">
        <f t="shared" si="22"/>
        <v>1</v>
      </c>
      <c r="O381" t="str">
        <f t="shared" si="23"/>
        <v>Low</v>
      </c>
    </row>
    <row r="382" spans="1:15" x14ac:dyDescent="0.2">
      <c r="A382" t="s">
        <v>422</v>
      </c>
      <c r="B382" s="1">
        <v>46182</v>
      </c>
      <c r="C382" t="s">
        <v>48</v>
      </c>
      <c r="D382" t="s">
        <v>39</v>
      </c>
      <c r="E382" t="s">
        <v>26</v>
      </c>
      <c r="F382" t="s">
        <v>35</v>
      </c>
      <c r="G382" t="s">
        <v>14</v>
      </c>
      <c r="H382" s="1">
        <v>46185</v>
      </c>
      <c r="I382" s="1">
        <v>46189</v>
      </c>
      <c r="J382" t="s">
        <v>42</v>
      </c>
      <c r="K382">
        <v>5</v>
      </c>
      <c r="L382" s="2">
        <f t="shared" si="20"/>
        <v>4</v>
      </c>
      <c r="M382" t="str">
        <f t="shared" si="21"/>
        <v>Breached</v>
      </c>
      <c r="N382">
        <f t="shared" si="22"/>
        <v>0</v>
      </c>
      <c r="O382" t="str">
        <f t="shared" si="23"/>
        <v>High</v>
      </c>
    </row>
    <row r="383" spans="1:15" x14ac:dyDescent="0.2">
      <c r="A383" t="s">
        <v>423</v>
      </c>
      <c r="B383" s="1">
        <v>46182</v>
      </c>
      <c r="C383" t="s">
        <v>24</v>
      </c>
      <c r="D383" t="s">
        <v>44</v>
      </c>
      <c r="E383" t="s">
        <v>26</v>
      </c>
      <c r="F383" t="s">
        <v>35</v>
      </c>
      <c r="G383" t="s">
        <v>14</v>
      </c>
      <c r="H383" s="1">
        <v>46185</v>
      </c>
      <c r="I383" s="1">
        <v>46185</v>
      </c>
      <c r="J383" t="s">
        <v>17</v>
      </c>
      <c r="K383">
        <v>18</v>
      </c>
      <c r="L383" s="2">
        <f t="shared" si="20"/>
        <v>0</v>
      </c>
      <c r="M383" t="str">
        <f t="shared" si="21"/>
        <v>Met</v>
      </c>
      <c r="N383">
        <f t="shared" si="22"/>
        <v>1</v>
      </c>
      <c r="O383" t="str">
        <f t="shared" si="23"/>
        <v>Low</v>
      </c>
    </row>
    <row r="384" spans="1:15" x14ac:dyDescent="0.2">
      <c r="A384" t="s">
        <v>424</v>
      </c>
      <c r="B384" s="1">
        <v>46182</v>
      </c>
      <c r="C384" t="s">
        <v>48</v>
      </c>
      <c r="D384" t="s">
        <v>39</v>
      </c>
      <c r="E384" t="s">
        <v>26</v>
      </c>
      <c r="F384" t="s">
        <v>29</v>
      </c>
      <c r="G384" t="s">
        <v>16</v>
      </c>
      <c r="H384" s="1">
        <v>46183</v>
      </c>
      <c r="I384" s="1">
        <v>46183</v>
      </c>
      <c r="J384" t="s">
        <v>17</v>
      </c>
      <c r="K384">
        <v>4</v>
      </c>
      <c r="L384" s="2">
        <f t="shared" si="20"/>
        <v>0</v>
      </c>
      <c r="M384" t="str">
        <f t="shared" si="21"/>
        <v>Met</v>
      </c>
      <c r="N384">
        <f t="shared" si="22"/>
        <v>1</v>
      </c>
      <c r="O384" t="str">
        <f t="shared" si="23"/>
        <v>Low</v>
      </c>
    </row>
    <row r="385" spans="1:15" x14ac:dyDescent="0.2">
      <c r="A385" t="s">
        <v>425</v>
      </c>
      <c r="B385" s="1">
        <v>46182</v>
      </c>
      <c r="C385" t="s">
        <v>19</v>
      </c>
      <c r="D385" t="s">
        <v>34</v>
      </c>
      <c r="E385" t="s">
        <v>14</v>
      </c>
      <c r="F385" t="s">
        <v>31</v>
      </c>
      <c r="G385" t="s">
        <v>16</v>
      </c>
      <c r="H385" s="1">
        <v>46183</v>
      </c>
      <c r="I385" s="1">
        <v>46182</v>
      </c>
      <c r="J385" t="s">
        <v>17</v>
      </c>
      <c r="K385">
        <v>31</v>
      </c>
      <c r="L385" s="2">
        <f t="shared" si="20"/>
        <v>-1</v>
      </c>
      <c r="M385" t="str">
        <f t="shared" si="21"/>
        <v>Met</v>
      </c>
      <c r="N385">
        <f t="shared" si="22"/>
        <v>1</v>
      </c>
      <c r="O385" t="str">
        <f t="shared" si="23"/>
        <v>Low</v>
      </c>
    </row>
    <row r="386" spans="1:15" x14ac:dyDescent="0.2">
      <c r="A386" t="s">
        <v>426</v>
      </c>
      <c r="B386" s="1">
        <v>46182</v>
      </c>
      <c r="C386" t="s">
        <v>48</v>
      </c>
      <c r="D386" t="s">
        <v>67</v>
      </c>
      <c r="E386" t="s">
        <v>14</v>
      </c>
      <c r="F386" t="s">
        <v>35</v>
      </c>
      <c r="G386" t="s">
        <v>22</v>
      </c>
      <c r="H386" s="1">
        <v>46184</v>
      </c>
      <c r="I386" s="1">
        <v>46184</v>
      </c>
      <c r="J386" t="s">
        <v>17</v>
      </c>
      <c r="K386">
        <v>32</v>
      </c>
      <c r="L386" s="2">
        <f t="shared" ref="L386:L421" si="24">I386-H386</f>
        <v>0</v>
      </c>
      <c r="M386" t="str">
        <f t="shared" ref="M386:M421" si="25">IF(I386&lt;=H386, "Met", "Breached")</f>
        <v>Met</v>
      </c>
      <c r="N386">
        <f t="shared" ref="N386:N421" si="26">IF(M386="Met", 1,0)</f>
        <v>1</v>
      </c>
      <c r="O386" t="str">
        <f t="shared" ref="O386:O421" si="27">IF(AND(E386="VIP", M386="Breached"), "High", IF(M386="Breached","Medium", "Low"))</f>
        <v>Low</v>
      </c>
    </row>
    <row r="387" spans="1:15" x14ac:dyDescent="0.2">
      <c r="A387" t="s">
        <v>427</v>
      </c>
      <c r="B387" s="1">
        <v>46182</v>
      </c>
      <c r="C387" t="s">
        <v>33</v>
      </c>
      <c r="D387" t="s">
        <v>28</v>
      </c>
      <c r="E387" t="s">
        <v>26</v>
      </c>
      <c r="F387" t="s">
        <v>15</v>
      </c>
      <c r="G387" t="s">
        <v>14</v>
      </c>
      <c r="H387" s="1">
        <v>46185</v>
      </c>
      <c r="I387" s="1">
        <v>46185</v>
      </c>
      <c r="J387" t="s">
        <v>17</v>
      </c>
      <c r="K387">
        <v>2</v>
      </c>
      <c r="L387" s="2">
        <f t="shared" si="24"/>
        <v>0</v>
      </c>
      <c r="M387" t="str">
        <f t="shared" si="25"/>
        <v>Met</v>
      </c>
      <c r="N387">
        <f t="shared" si="26"/>
        <v>1</v>
      </c>
      <c r="O387" t="str">
        <f t="shared" si="27"/>
        <v>Low</v>
      </c>
    </row>
    <row r="388" spans="1:15" x14ac:dyDescent="0.2">
      <c r="A388" t="s">
        <v>428</v>
      </c>
      <c r="B388" s="1">
        <v>46183</v>
      </c>
      <c r="C388" t="s">
        <v>19</v>
      </c>
      <c r="D388" t="s">
        <v>46</v>
      </c>
      <c r="E388" t="s">
        <v>14</v>
      </c>
      <c r="F388" t="s">
        <v>21</v>
      </c>
      <c r="G388" t="s">
        <v>16</v>
      </c>
      <c r="H388" s="1">
        <v>46184</v>
      </c>
      <c r="I388" s="1">
        <v>46184</v>
      </c>
      <c r="J388" t="s">
        <v>17</v>
      </c>
      <c r="K388">
        <v>14</v>
      </c>
      <c r="L388" s="2">
        <f t="shared" si="24"/>
        <v>0</v>
      </c>
      <c r="M388" t="str">
        <f t="shared" si="25"/>
        <v>Met</v>
      </c>
      <c r="N388">
        <f t="shared" si="26"/>
        <v>1</v>
      </c>
      <c r="O388" t="str">
        <f t="shared" si="27"/>
        <v>Low</v>
      </c>
    </row>
    <row r="389" spans="1:15" x14ac:dyDescent="0.2">
      <c r="A389" t="s">
        <v>429</v>
      </c>
      <c r="B389" s="1">
        <v>46183</v>
      </c>
      <c r="C389" t="s">
        <v>33</v>
      </c>
      <c r="D389" t="s">
        <v>34</v>
      </c>
      <c r="E389" t="s">
        <v>14</v>
      </c>
      <c r="F389" t="s">
        <v>35</v>
      </c>
      <c r="G389" t="s">
        <v>16</v>
      </c>
      <c r="H389" s="1">
        <v>46184</v>
      </c>
      <c r="I389" s="1">
        <v>46184</v>
      </c>
      <c r="J389" t="s">
        <v>17</v>
      </c>
      <c r="K389">
        <v>34</v>
      </c>
      <c r="L389" s="2">
        <f t="shared" si="24"/>
        <v>0</v>
      </c>
      <c r="M389" t="str">
        <f t="shared" si="25"/>
        <v>Met</v>
      </c>
      <c r="N389">
        <f t="shared" si="26"/>
        <v>1</v>
      </c>
      <c r="O389" t="str">
        <f t="shared" si="27"/>
        <v>Low</v>
      </c>
    </row>
    <row r="390" spans="1:15" x14ac:dyDescent="0.2">
      <c r="A390" t="s">
        <v>430</v>
      </c>
      <c r="B390" s="1">
        <v>46183</v>
      </c>
      <c r="C390" t="s">
        <v>12</v>
      </c>
      <c r="D390" t="s">
        <v>28</v>
      </c>
      <c r="E390" t="s">
        <v>26</v>
      </c>
      <c r="F390" t="s">
        <v>31</v>
      </c>
      <c r="G390" t="s">
        <v>14</v>
      </c>
      <c r="H390" s="1">
        <v>46186</v>
      </c>
      <c r="I390" s="1">
        <v>46186</v>
      </c>
      <c r="J390" t="s">
        <v>17</v>
      </c>
      <c r="K390">
        <v>14</v>
      </c>
      <c r="L390" s="2">
        <f t="shared" si="24"/>
        <v>0</v>
      </c>
      <c r="M390" t="str">
        <f t="shared" si="25"/>
        <v>Met</v>
      </c>
      <c r="N390">
        <f t="shared" si="26"/>
        <v>1</v>
      </c>
      <c r="O390" t="str">
        <f t="shared" si="27"/>
        <v>Low</v>
      </c>
    </row>
    <row r="391" spans="1:15" x14ac:dyDescent="0.2">
      <c r="A391" t="s">
        <v>431</v>
      </c>
      <c r="B391" s="1">
        <v>46183</v>
      </c>
      <c r="C391" t="s">
        <v>33</v>
      </c>
      <c r="D391" t="s">
        <v>49</v>
      </c>
      <c r="E391" t="s">
        <v>26</v>
      </c>
      <c r="F391" t="s">
        <v>31</v>
      </c>
      <c r="G391" t="s">
        <v>16</v>
      </c>
      <c r="H391" s="1">
        <v>46184</v>
      </c>
      <c r="I391" s="1">
        <v>46186</v>
      </c>
      <c r="J391" t="s">
        <v>42</v>
      </c>
      <c r="K391">
        <v>25</v>
      </c>
      <c r="L391" s="2">
        <f t="shared" si="24"/>
        <v>2</v>
      </c>
      <c r="M391" t="str">
        <f t="shared" si="25"/>
        <v>Breached</v>
      </c>
      <c r="N391">
        <f t="shared" si="26"/>
        <v>0</v>
      </c>
      <c r="O391" t="str">
        <f t="shared" si="27"/>
        <v>High</v>
      </c>
    </row>
    <row r="392" spans="1:15" x14ac:dyDescent="0.2">
      <c r="A392" t="s">
        <v>432</v>
      </c>
      <c r="B392" s="1">
        <v>46183</v>
      </c>
      <c r="C392" t="s">
        <v>19</v>
      </c>
      <c r="D392" t="s">
        <v>49</v>
      </c>
      <c r="E392" t="s">
        <v>26</v>
      </c>
      <c r="F392" t="s">
        <v>21</v>
      </c>
      <c r="G392" t="s">
        <v>22</v>
      </c>
      <c r="H392" s="1">
        <v>46185</v>
      </c>
      <c r="I392" s="1">
        <v>46186</v>
      </c>
      <c r="J392" t="s">
        <v>42</v>
      </c>
      <c r="K392">
        <v>3</v>
      </c>
      <c r="L392" s="2">
        <f t="shared" si="24"/>
        <v>1</v>
      </c>
      <c r="M392" t="str">
        <f t="shared" si="25"/>
        <v>Breached</v>
      </c>
      <c r="N392">
        <f t="shared" si="26"/>
        <v>0</v>
      </c>
      <c r="O392" t="str">
        <f t="shared" si="27"/>
        <v>High</v>
      </c>
    </row>
    <row r="393" spans="1:15" x14ac:dyDescent="0.2">
      <c r="A393" t="s">
        <v>433</v>
      </c>
      <c r="B393" s="1">
        <v>46183</v>
      </c>
      <c r="C393" t="s">
        <v>19</v>
      </c>
      <c r="D393" t="s">
        <v>20</v>
      </c>
      <c r="E393" t="s">
        <v>14</v>
      </c>
      <c r="F393" t="s">
        <v>75</v>
      </c>
      <c r="G393" t="s">
        <v>16</v>
      </c>
      <c r="H393" s="1">
        <v>46184</v>
      </c>
      <c r="I393" s="1">
        <v>46184</v>
      </c>
      <c r="J393" t="s">
        <v>17</v>
      </c>
      <c r="K393">
        <v>31</v>
      </c>
      <c r="L393" s="2">
        <f t="shared" si="24"/>
        <v>0</v>
      </c>
      <c r="M393" t="str">
        <f t="shared" si="25"/>
        <v>Met</v>
      </c>
      <c r="N393">
        <f t="shared" si="26"/>
        <v>1</v>
      </c>
      <c r="O393" t="str">
        <f t="shared" si="27"/>
        <v>Low</v>
      </c>
    </row>
    <row r="394" spans="1:15" x14ac:dyDescent="0.2">
      <c r="A394" t="s">
        <v>434</v>
      </c>
      <c r="B394" s="1">
        <v>46183</v>
      </c>
      <c r="C394" t="s">
        <v>19</v>
      </c>
      <c r="D394" t="s">
        <v>39</v>
      </c>
      <c r="E394" t="s">
        <v>26</v>
      </c>
      <c r="F394" t="s">
        <v>35</v>
      </c>
      <c r="G394" t="s">
        <v>14</v>
      </c>
      <c r="H394" s="1">
        <v>46186</v>
      </c>
      <c r="I394" s="1">
        <v>46186</v>
      </c>
      <c r="J394" t="s">
        <v>17</v>
      </c>
      <c r="K394">
        <v>24</v>
      </c>
      <c r="L394" s="2">
        <f t="shared" si="24"/>
        <v>0</v>
      </c>
      <c r="M394" t="str">
        <f t="shared" si="25"/>
        <v>Met</v>
      </c>
      <c r="N394">
        <f t="shared" si="26"/>
        <v>1</v>
      </c>
      <c r="O394" t="str">
        <f t="shared" si="27"/>
        <v>Low</v>
      </c>
    </row>
    <row r="395" spans="1:15" x14ac:dyDescent="0.2">
      <c r="A395" t="s">
        <v>435</v>
      </c>
      <c r="B395" s="1">
        <v>46183</v>
      </c>
      <c r="C395" t="s">
        <v>24</v>
      </c>
      <c r="D395" t="s">
        <v>44</v>
      </c>
      <c r="E395" t="s">
        <v>26</v>
      </c>
      <c r="F395" t="s">
        <v>75</v>
      </c>
      <c r="G395" t="s">
        <v>14</v>
      </c>
      <c r="H395" s="1">
        <v>46186</v>
      </c>
      <c r="I395" s="1">
        <v>46186</v>
      </c>
      <c r="J395" t="s">
        <v>17</v>
      </c>
      <c r="K395">
        <v>30</v>
      </c>
      <c r="L395" s="2">
        <f t="shared" si="24"/>
        <v>0</v>
      </c>
      <c r="M395" t="str">
        <f t="shared" si="25"/>
        <v>Met</v>
      </c>
      <c r="N395">
        <f t="shared" si="26"/>
        <v>1</v>
      </c>
      <c r="O395" t="str">
        <f t="shared" si="27"/>
        <v>Low</v>
      </c>
    </row>
    <row r="396" spans="1:15" x14ac:dyDescent="0.2">
      <c r="A396" t="s">
        <v>436</v>
      </c>
      <c r="B396" s="1">
        <v>46183</v>
      </c>
      <c r="C396" t="s">
        <v>33</v>
      </c>
      <c r="D396" t="s">
        <v>28</v>
      </c>
      <c r="E396" t="s">
        <v>26</v>
      </c>
      <c r="F396" t="s">
        <v>15</v>
      </c>
      <c r="G396" t="s">
        <v>22</v>
      </c>
      <c r="H396" s="1">
        <v>46185</v>
      </c>
      <c r="I396" s="1">
        <v>46185</v>
      </c>
      <c r="J396" t="s">
        <v>17</v>
      </c>
      <c r="K396">
        <v>40</v>
      </c>
      <c r="L396" s="2">
        <f t="shared" si="24"/>
        <v>0</v>
      </c>
      <c r="M396" t="str">
        <f t="shared" si="25"/>
        <v>Met</v>
      </c>
      <c r="N396">
        <f t="shared" si="26"/>
        <v>1</v>
      </c>
      <c r="O396" t="str">
        <f t="shared" si="27"/>
        <v>Low</v>
      </c>
    </row>
    <row r="397" spans="1:15" x14ac:dyDescent="0.2">
      <c r="A397" t="s">
        <v>437</v>
      </c>
      <c r="B397" s="1">
        <v>46184</v>
      </c>
      <c r="C397" t="s">
        <v>37</v>
      </c>
      <c r="D397" t="s">
        <v>25</v>
      </c>
      <c r="E397" t="s">
        <v>26</v>
      </c>
      <c r="F397" t="s">
        <v>21</v>
      </c>
      <c r="G397" t="s">
        <v>22</v>
      </c>
      <c r="H397" s="1">
        <v>46186</v>
      </c>
      <c r="I397" s="1">
        <v>46187</v>
      </c>
      <c r="J397" t="s">
        <v>42</v>
      </c>
      <c r="K397">
        <v>29</v>
      </c>
      <c r="L397" s="2">
        <f t="shared" si="24"/>
        <v>1</v>
      </c>
      <c r="M397" t="str">
        <f t="shared" si="25"/>
        <v>Breached</v>
      </c>
      <c r="N397">
        <f t="shared" si="26"/>
        <v>0</v>
      </c>
      <c r="O397" t="str">
        <f t="shared" si="27"/>
        <v>High</v>
      </c>
    </row>
    <row r="398" spans="1:15" x14ac:dyDescent="0.2">
      <c r="A398" t="s">
        <v>438</v>
      </c>
      <c r="B398" s="1">
        <v>46184</v>
      </c>
      <c r="C398" t="s">
        <v>12</v>
      </c>
      <c r="D398" t="s">
        <v>54</v>
      </c>
      <c r="E398" t="s">
        <v>14</v>
      </c>
      <c r="F398" t="s">
        <v>75</v>
      </c>
      <c r="G398" t="s">
        <v>14</v>
      </c>
      <c r="H398" s="1">
        <v>46187</v>
      </c>
      <c r="I398" s="1">
        <v>46187</v>
      </c>
      <c r="J398" t="s">
        <v>17</v>
      </c>
      <c r="K398">
        <v>35</v>
      </c>
      <c r="L398" s="2">
        <f t="shared" si="24"/>
        <v>0</v>
      </c>
      <c r="M398" t="str">
        <f t="shared" si="25"/>
        <v>Met</v>
      </c>
      <c r="N398">
        <f t="shared" si="26"/>
        <v>1</v>
      </c>
      <c r="O398" t="str">
        <f t="shared" si="27"/>
        <v>Low</v>
      </c>
    </row>
    <row r="399" spans="1:15" x14ac:dyDescent="0.2">
      <c r="A399" t="s">
        <v>439</v>
      </c>
      <c r="B399" s="1">
        <v>46184</v>
      </c>
      <c r="C399" t="s">
        <v>19</v>
      </c>
      <c r="D399" t="s">
        <v>49</v>
      </c>
      <c r="E399" t="s">
        <v>26</v>
      </c>
      <c r="F399" t="s">
        <v>75</v>
      </c>
      <c r="G399" t="s">
        <v>22</v>
      </c>
      <c r="H399" s="1">
        <v>46186</v>
      </c>
      <c r="I399" s="1">
        <v>46186</v>
      </c>
      <c r="J399" t="s">
        <v>17</v>
      </c>
      <c r="K399">
        <v>23</v>
      </c>
      <c r="L399" s="2">
        <f t="shared" si="24"/>
        <v>0</v>
      </c>
      <c r="M399" t="str">
        <f t="shared" si="25"/>
        <v>Met</v>
      </c>
      <c r="N399">
        <f t="shared" si="26"/>
        <v>1</v>
      </c>
      <c r="O399" t="str">
        <f t="shared" si="27"/>
        <v>Low</v>
      </c>
    </row>
    <row r="400" spans="1:15" x14ac:dyDescent="0.2">
      <c r="A400" t="s">
        <v>440</v>
      </c>
      <c r="B400" s="1">
        <v>46184</v>
      </c>
      <c r="C400" t="s">
        <v>12</v>
      </c>
      <c r="D400" t="s">
        <v>41</v>
      </c>
      <c r="E400" t="s">
        <v>14</v>
      </c>
      <c r="F400" t="s">
        <v>35</v>
      </c>
      <c r="G400" t="s">
        <v>16</v>
      </c>
      <c r="H400" s="1">
        <v>46185</v>
      </c>
      <c r="I400" s="1">
        <v>46185</v>
      </c>
      <c r="J400" t="s">
        <v>17</v>
      </c>
      <c r="K400">
        <v>4</v>
      </c>
      <c r="L400" s="2">
        <f t="shared" si="24"/>
        <v>0</v>
      </c>
      <c r="M400" t="str">
        <f t="shared" si="25"/>
        <v>Met</v>
      </c>
      <c r="N400">
        <f t="shared" si="26"/>
        <v>1</v>
      </c>
      <c r="O400" t="str">
        <f t="shared" si="27"/>
        <v>Low</v>
      </c>
    </row>
    <row r="401" spans="1:15" x14ac:dyDescent="0.2">
      <c r="A401" t="s">
        <v>441</v>
      </c>
      <c r="B401" s="1">
        <v>46185</v>
      </c>
      <c r="C401" t="s">
        <v>48</v>
      </c>
      <c r="D401" t="s">
        <v>41</v>
      </c>
      <c r="E401" t="s">
        <v>14</v>
      </c>
      <c r="F401" t="s">
        <v>15</v>
      </c>
      <c r="G401" t="s">
        <v>16</v>
      </c>
      <c r="H401" s="1">
        <v>46186</v>
      </c>
      <c r="I401" s="1">
        <v>46186</v>
      </c>
      <c r="J401" t="s">
        <v>17</v>
      </c>
      <c r="K401">
        <v>2</v>
      </c>
      <c r="L401" s="2">
        <f t="shared" si="24"/>
        <v>0</v>
      </c>
      <c r="M401" t="str">
        <f t="shared" si="25"/>
        <v>Met</v>
      </c>
      <c r="N401">
        <f t="shared" si="26"/>
        <v>1</v>
      </c>
      <c r="O401" t="str">
        <f t="shared" si="27"/>
        <v>Low</v>
      </c>
    </row>
    <row r="402" spans="1:15" x14ac:dyDescent="0.2">
      <c r="A402" t="s">
        <v>442</v>
      </c>
      <c r="B402" s="1">
        <v>46185</v>
      </c>
      <c r="C402" t="s">
        <v>33</v>
      </c>
      <c r="D402" t="s">
        <v>13</v>
      </c>
      <c r="E402" t="s">
        <v>14</v>
      </c>
      <c r="F402" t="s">
        <v>15</v>
      </c>
      <c r="G402" t="s">
        <v>14</v>
      </c>
      <c r="H402" s="1">
        <v>46188</v>
      </c>
      <c r="I402" s="1">
        <v>46188</v>
      </c>
      <c r="J402" t="s">
        <v>17</v>
      </c>
      <c r="K402">
        <v>36</v>
      </c>
      <c r="L402" s="2">
        <f t="shared" si="24"/>
        <v>0</v>
      </c>
      <c r="M402" t="str">
        <f t="shared" si="25"/>
        <v>Met</v>
      </c>
      <c r="N402">
        <f t="shared" si="26"/>
        <v>1</v>
      </c>
      <c r="O402" t="str">
        <f t="shared" si="27"/>
        <v>Low</v>
      </c>
    </row>
    <row r="403" spans="1:15" x14ac:dyDescent="0.2">
      <c r="A403" t="s">
        <v>443</v>
      </c>
      <c r="B403" s="1">
        <v>46185</v>
      </c>
      <c r="C403" t="s">
        <v>12</v>
      </c>
      <c r="D403" t="s">
        <v>41</v>
      </c>
      <c r="E403" t="s">
        <v>14</v>
      </c>
      <c r="F403" t="s">
        <v>29</v>
      </c>
      <c r="G403" t="s">
        <v>14</v>
      </c>
      <c r="H403" s="1">
        <v>46188</v>
      </c>
      <c r="I403" s="1">
        <v>46188</v>
      </c>
      <c r="J403" t="s">
        <v>17</v>
      </c>
      <c r="K403">
        <v>17</v>
      </c>
      <c r="L403" s="2">
        <f t="shared" si="24"/>
        <v>0</v>
      </c>
      <c r="M403" t="str">
        <f t="shared" si="25"/>
        <v>Met</v>
      </c>
      <c r="N403">
        <f t="shared" si="26"/>
        <v>1</v>
      </c>
      <c r="O403" t="str">
        <f t="shared" si="27"/>
        <v>Low</v>
      </c>
    </row>
    <row r="404" spans="1:15" x14ac:dyDescent="0.2">
      <c r="A404" t="s">
        <v>444</v>
      </c>
      <c r="B404" s="1">
        <v>46185</v>
      </c>
      <c r="C404" t="s">
        <v>48</v>
      </c>
      <c r="D404" t="s">
        <v>54</v>
      </c>
      <c r="E404" t="s">
        <v>14</v>
      </c>
      <c r="F404" t="s">
        <v>75</v>
      </c>
      <c r="G404" t="s">
        <v>14</v>
      </c>
      <c r="H404" s="1">
        <v>46188</v>
      </c>
      <c r="I404" s="1">
        <v>46188</v>
      </c>
      <c r="J404" t="s">
        <v>17</v>
      </c>
      <c r="K404">
        <v>4</v>
      </c>
      <c r="L404" s="2">
        <f t="shared" si="24"/>
        <v>0</v>
      </c>
      <c r="M404" t="str">
        <f t="shared" si="25"/>
        <v>Met</v>
      </c>
      <c r="N404">
        <f t="shared" si="26"/>
        <v>1</v>
      </c>
      <c r="O404" t="str">
        <f t="shared" si="27"/>
        <v>Low</v>
      </c>
    </row>
    <row r="405" spans="1:15" x14ac:dyDescent="0.2">
      <c r="A405" t="s">
        <v>445</v>
      </c>
      <c r="B405" s="1">
        <v>46186</v>
      </c>
      <c r="C405" t="s">
        <v>33</v>
      </c>
      <c r="D405" t="s">
        <v>46</v>
      </c>
      <c r="E405" t="s">
        <v>14</v>
      </c>
      <c r="F405" t="s">
        <v>31</v>
      </c>
      <c r="G405" t="s">
        <v>16</v>
      </c>
      <c r="H405" s="1">
        <v>46187</v>
      </c>
      <c r="I405" s="1">
        <v>46186</v>
      </c>
      <c r="J405" t="s">
        <v>17</v>
      </c>
      <c r="K405">
        <v>26</v>
      </c>
      <c r="L405" s="2">
        <f t="shared" si="24"/>
        <v>-1</v>
      </c>
      <c r="M405" t="str">
        <f t="shared" si="25"/>
        <v>Met</v>
      </c>
      <c r="N405">
        <f t="shared" si="26"/>
        <v>1</v>
      </c>
      <c r="O405" t="str">
        <f t="shared" si="27"/>
        <v>Low</v>
      </c>
    </row>
    <row r="406" spans="1:15" x14ac:dyDescent="0.2">
      <c r="A406" t="s">
        <v>446</v>
      </c>
      <c r="B406" s="1">
        <v>46186</v>
      </c>
      <c r="C406" t="s">
        <v>48</v>
      </c>
      <c r="D406" t="s">
        <v>54</v>
      </c>
      <c r="E406" t="s">
        <v>14</v>
      </c>
      <c r="F406" t="s">
        <v>31</v>
      </c>
      <c r="G406" t="s">
        <v>16</v>
      </c>
      <c r="H406" s="1">
        <v>46187</v>
      </c>
      <c r="I406" s="1">
        <v>46187</v>
      </c>
      <c r="J406" t="s">
        <v>17</v>
      </c>
      <c r="K406">
        <v>33</v>
      </c>
      <c r="L406" s="2">
        <f t="shared" si="24"/>
        <v>0</v>
      </c>
      <c r="M406" t="str">
        <f t="shared" si="25"/>
        <v>Met</v>
      </c>
      <c r="N406">
        <f t="shared" si="26"/>
        <v>1</v>
      </c>
      <c r="O406" t="str">
        <f t="shared" si="27"/>
        <v>Low</v>
      </c>
    </row>
    <row r="407" spans="1:15" x14ac:dyDescent="0.2">
      <c r="A407" t="s">
        <v>447</v>
      </c>
      <c r="B407" s="1">
        <v>46186</v>
      </c>
      <c r="C407" t="s">
        <v>37</v>
      </c>
      <c r="D407" t="s">
        <v>46</v>
      </c>
      <c r="E407" t="s">
        <v>14</v>
      </c>
      <c r="F407" t="s">
        <v>29</v>
      </c>
      <c r="G407" t="s">
        <v>14</v>
      </c>
      <c r="H407" s="1">
        <v>46189</v>
      </c>
      <c r="I407" s="1">
        <v>46189</v>
      </c>
      <c r="J407" t="s">
        <v>17</v>
      </c>
      <c r="K407">
        <v>23</v>
      </c>
      <c r="L407" s="2">
        <f t="shared" si="24"/>
        <v>0</v>
      </c>
      <c r="M407" t="str">
        <f t="shared" si="25"/>
        <v>Met</v>
      </c>
      <c r="N407">
        <f t="shared" si="26"/>
        <v>1</v>
      </c>
      <c r="O407" t="str">
        <f t="shared" si="27"/>
        <v>Low</v>
      </c>
    </row>
    <row r="408" spans="1:15" x14ac:dyDescent="0.2">
      <c r="A408" t="s">
        <v>448</v>
      </c>
      <c r="B408" s="1">
        <v>46186</v>
      </c>
      <c r="C408" t="s">
        <v>48</v>
      </c>
      <c r="D408" t="s">
        <v>49</v>
      </c>
      <c r="E408" t="s">
        <v>26</v>
      </c>
      <c r="F408" t="s">
        <v>31</v>
      </c>
      <c r="G408" t="s">
        <v>14</v>
      </c>
      <c r="H408" s="1">
        <v>46189</v>
      </c>
      <c r="I408" s="1">
        <v>46189</v>
      </c>
      <c r="J408" t="s">
        <v>17</v>
      </c>
      <c r="K408">
        <v>18</v>
      </c>
      <c r="L408" s="2">
        <f t="shared" si="24"/>
        <v>0</v>
      </c>
      <c r="M408" t="str">
        <f t="shared" si="25"/>
        <v>Met</v>
      </c>
      <c r="N408">
        <f t="shared" si="26"/>
        <v>1</v>
      </c>
      <c r="O408" t="str">
        <f t="shared" si="27"/>
        <v>Low</v>
      </c>
    </row>
    <row r="409" spans="1:15" x14ac:dyDescent="0.2">
      <c r="A409" t="s">
        <v>449</v>
      </c>
      <c r="B409" s="1">
        <v>46186</v>
      </c>
      <c r="C409" t="s">
        <v>33</v>
      </c>
      <c r="D409" t="s">
        <v>41</v>
      </c>
      <c r="E409" t="s">
        <v>14</v>
      </c>
      <c r="F409" t="s">
        <v>31</v>
      </c>
      <c r="G409" t="s">
        <v>16</v>
      </c>
      <c r="H409" s="1">
        <v>46187</v>
      </c>
      <c r="I409" s="1">
        <v>46187</v>
      </c>
      <c r="J409" t="s">
        <v>17</v>
      </c>
      <c r="K409">
        <v>27</v>
      </c>
      <c r="L409" s="2">
        <f t="shared" si="24"/>
        <v>0</v>
      </c>
      <c r="M409" t="str">
        <f t="shared" si="25"/>
        <v>Met</v>
      </c>
      <c r="N409">
        <f t="shared" si="26"/>
        <v>1</v>
      </c>
      <c r="O409" t="str">
        <f t="shared" si="27"/>
        <v>Low</v>
      </c>
    </row>
    <row r="410" spans="1:15" x14ac:dyDescent="0.2">
      <c r="A410" t="s">
        <v>450</v>
      </c>
      <c r="B410" s="1">
        <v>46186</v>
      </c>
      <c r="C410" t="s">
        <v>12</v>
      </c>
      <c r="D410" t="s">
        <v>28</v>
      </c>
      <c r="E410" t="s">
        <v>26</v>
      </c>
      <c r="F410" t="s">
        <v>29</v>
      </c>
      <c r="G410" t="s">
        <v>14</v>
      </c>
      <c r="H410" s="1">
        <v>46189</v>
      </c>
      <c r="I410" s="1">
        <v>46192</v>
      </c>
      <c r="J410" t="s">
        <v>42</v>
      </c>
      <c r="K410">
        <v>21</v>
      </c>
      <c r="L410" s="2">
        <f t="shared" si="24"/>
        <v>3</v>
      </c>
      <c r="M410" t="str">
        <f t="shared" si="25"/>
        <v>Breached</v>
      </c>
      <c r="N410">
        <f t="shared" si="26"/>
        <v>0</v>
      </c>
      <c r="O410" t="str">
        <f t="shared" si="27"/>
        <v>High</v>
      </c>
    </row>
    <row r="411" spans="1:15" x14ac:dyDescent="0.2">
      <c r="A411" t="s">
        <v>451</v>
      </c>
      <c r="B411" s="1">
        <v>46187</v>
      </c>
      <c r="C411" t="s">
        <v>12</v>
      </c>
      <c r="D411" t="s">
        <v>28</v>
      </c>
      <c r="E411" t="s">
        <v>26</v>
      </c>
      <c r="F411" t="s">
        <v>75</v>
      </c>
      <c r="G411" t="s">
        <v>22</v>
      </c>
      <c r="H411" s="1">
        <v>46189</v>
      </c>
      <c r="I411" s="1">
        <v>46189</v>
      </c>
      <c r="J411" t="s">
        <v>17</v>
      </c>
      <c r="K411">
        <v>39</v>
      </c>
      <c r="L411" s="2">
        <f t="shared" si="24"/>
        <v>0</v>
      </c>
      <c r="M411" t="str">
        <f t="shared" si="25"/>
        <v>Met</v>
      </c>
      <c r="N411">
        <f t="shared" si="26"/>
        <v>1</v>
      </c>
      <c r="O411" t="str">
        <f t="shared" si="27"/>
        <v>Low</v>
      </c>
    </row>
    <row r="412" spans="1:15" x14ac:dyDescent="0.2">
      <c r="A412" t="s">
        <v>452</v>
      </c>
      <c r="B412" s="1">
        <v>46187</v>
      </c>
      <c r="C412" t="s">
        <v>24</v>
      </c>
      <c r="D412" t="s">
        <v>20</v>
      </c>
      <c r="E412" t="s">
        <v>14</v>
      </c>
      <c r="F412" t="s">
        <v>29</v>
      </c>
      <c r="G412" t="s">
        <v>16</v>
      </c>
      <c r="H412" s="1">
        <v>46188</v>
      </c>
      <c r="I412" s="1">
        <v>46188</v>
      </c>
      <c r="J412" t="s">
        <v>17</v>
      </c>
      <c r="K412">
        <v>24</v>
      </c>
      <c r="L412" s="2">
        <f t="shared" si="24"/>
        <v>0</v>
      </c>
      <c r="M412" t="str">
        <f t="shared" si="25"/>
        <v>Met</v>
      </c>
      <c r="N412">
        <f t="shared" si="26"/>
        <v>1</v>
      </c>
      <c r="O412" t="str">
        <f t="shared" si="27"/>
        <v>Low</v>
      </c>
    </row>
    <row r="413" spans="1:15" x14ac:dyDescent="0.2">
      <c r="A413" t="s">
        <v>453</v>
      </c>
      <c r="B413" s="1">
        <v>46187</v>
      </c>
      <c r="C413" t="s">
        <v>19</v>
      </c>
      <c r="D413" t="s">
        <v>41</v>
      </c>
      <c r="E413" t="s">
        <v>14</v>
      </c>
      <c r="F413" t="s">
        <v>21</v>
      </c>
      <c r="G413" t="s">
        <v>22</v>
      </c>
      <c r="H413" s="1">
        <v>46189</v>
      </c>
      <c r="I413" s="1">
        <v>46189</v>
      </c>
      <c r="J413" t="s">
        <v>17</v>
      </c>
      <c r="K413">
        <v>38</v>
      </c>
      <c r="L413" s="2">
        <f t="shared" si="24"/>
        <v>0</v>
      </c>
      <c r="M413" t="str">
        <f t="shared" si="25"/>
        <v>Met</v>
      </c>
      <c r="N413">
        <f t="shared" si="26"/>
        <v>1</v>
      </c>
      <c r="O413" t="str">
        <f t="shared" si="27"/>
        <v>Low</v>
      </c>
    </row>
    <row r="414" spans="1:15" x14ac:dyDescent="0.2">
      <c r="A414" t="s">
        <v>454</v>
      </c>
      <c r="B414" s="1">
        <v>46188</v>
      </c>
      <c r="C414" t="s">
        <v>24</v>
      </c>
      <c r="D414" t="s">
        <v>20</v>
      </c>
      <c r="E414" t="s">
        <v>14</v>
      </c>
      <c r="F414" t="s">
        <v>75</v>
      </c>
      <c r="G414" t="s">
        <v>14</v>
      </c>
      <c r="H414" s="1">
        <v>46191</v>
      </c>
      <c r="I414" s="1">
        <v>46191</v>
      </c>
      <c r="J414" t="s">
        <v>17</v>
      </c>
      <c r="K414">
        <v>14</v>
      </c>
      <c r="L414" s="2">
        <f t="shared" si="24"/>
        <v>0</v>
      </c>
      <c r="M414" t="str">
        <f t="shared" si="25"/>
        <v>Met</v>
      </c>
      <c r="N414">
        <f t="shared" si="26"/>
        <v>1</v>
      </c>
      <c r="O414" t="str">
        <f t="shared" si="27"/>
        <v>Low</v>
      </c>
    </row>
    <row r="415" spans="1:15" x14ac:dyDescent="0.2">
      <c r="A415" t="s">
        <v>455</v>
      </c>
      <c r="B415" s="1">
        <v>46188</v>
      </c>
      <c r="C415" t="s">
        <v>24</v>
      </c>
      <c r="D415" t="s">
        <v>28</v>
      </c>
      <c r="E415" t="s">
        <v>26</v>
      </c>
      <c r="F415" t="s">
        <v>15</v>
      </c>
      <c r="G415" t="s">
        <v>14</v>
      </c>
      <c r="H415" s="1">
        <v>46191</v>
      </c>
      <c r="I415" s="1">
        <v>46191</v>
      </c>
      <c r="J415" t="s">
        <v>17</v>
      </c>
      <c r="K415">
        <v>34</v>
      </c>
      <c r="L415" s="2">
        <f t="shared" si="24"/>
        <v>0</v>
      </c>
      <c r="M415" t="str">
        <f t="shared" si="25"/>
        <v>Met</v>
      </c>
      <c r="N415">
        <f t="shared" si="26"/>
        <v>1</v>
      </c>
      <c r="O415" t="str">
        <f t="shared" si="27"/>
        <v>Low</v>
      </c>
    </row>
    <row r="416" spans="1:15" x14ac:dyDescent="0.2">
      <c r="A416" t="s">
        <v>456</v>
      </c>
      <c r="B416" s="1">
        <v>46188</v>
      </c>
      <c r="C416" t="s">
        <v>37</v>
      </c>
      <c r="D416" t="s">
        <v>41</v>
      </c>
      <c r="E416" t="s">
        <v>14</v>
      </c>
      <c r="F416" t="s">
        <v>35</v>
      </c>
      <c r="G416" t="s">
        <v>22</v>
      </c>
      <c r="H416" s="1">
        <v>46190</v>
      </c>
      <c r="I416" s="1">
        <v>46190</v>
      </c>
      <c r="J416" t="s">
        <v>17</v>
      </c>
      <c r="K416">
        <v>6</v>
      </c>
      <c r="L416" s="2">
        <f t="shared" si="24"/>
        <v>0</v>
      </c>
      <c r="M416" t="str">
        <f t="shared" si="25"/>
        <v>Met</v>
      </c>
      <c r="N416">
        <f t="shared" si="26"/>
        <v>1</v>
      </c>
      <c r="O416" t="str">
        <f t="shared" si="27"/>
        <v>Low</v>
      </c>
    </row>
    <row r="417" spans="1:15" x14ac:dyDescent="0.2">
      <c r="A417" t="s">
        <v>457</v>
      </c>
      <c r="B417" s="1">
        <v>46188</v>
      </c>
      <c r="C417" t="s">
        <v>12</v>
      </c>
      <c r="D417" t="s">
        <v>49</v>
      </c>
      <c r="E417" t="s">
        <v>26</v>
      </c>
      <c r="F417" t="s">
        <v>21</v>
      </c>
      <c r="G417" t="s">
        <v>14</v>
      </c>
      <c r="H417" s="1">
        <v>46191</v>
      </c>
      <c r="I417" s="1">
        <v>46191</v>
      </c>
      <c r="J417" t="s">
        <v>17</v>
      </c>
      <c r="K417">
        <v>4</v>
      </c>
      <c r="L417" s="2">
        <f t="shared" si="24"/>
        <v>0</v>
      </c>
      <c r="M417" t="str">
        <f t="shared" si="25"/>
        <v>Met</v>
      </c>
      <c r="N417">
        <f t="shared" si="26"/>
        <v>1</v>
      </c>
      <c r="O417" t="str">
        <f t="shared" si="27"/>
        <v>Low</v>
      </c>
    </row>
    <row r="418" spans="1:15" x14ac:dyDescent="0.2">
      <c r="A418" t="s">
        <v>458</v>
      </c>
      <c r="B418" s="1">
        <v>46188</v>
      </c>
      <c r="C418" t="s">
        <v>12</v>
      </c>
      <c r="D418" t="s">
        <v>34</v>
      </c>
      <c r="E418" t="s">
        <v>14</v>
      </c>
      <c r="F418" t="s">
        <v>29</v>
      </c>
      <c r="G418" t="s">
        <v>16</v>
      </c>
      <c r="H418" s="1">
        <v>46189</v>
      </c>
      <c r="I418" s="1">
        <v>46190</v>
      </c>
      <c r="J418" t="s">
        <v>42</v>
      </c>
      <c r="K418">
        <v>20</v>
      </c>
      <c r="L418" s="2">
        <f t="shared" si="24"/>
        <v>1</v>
      </c>
      <c r="M418" t="str">
        <f t="shared" si="25"/>
        <v>Breached</v>
      </c>
      <c r="N418">
        <f t="shared" si="26"/>
        <v>0</v>
      </c>
      <c r="O418" t="str">
        <f t="shared" si="27"/>
        <v>Medium</v>
      </c>
    </row>
    <row r="419" spans="1:15" x14ac:dyDescent="0.2">
      <c r="A419" t="s">
        <v>459</v>
      </c>
      <c r="B419" s="1">
        <v>46188</v>
      </c>
      <c r="C419" t="s">
        <v>12</v>
      </c>
      <c r="D419" t="s">
        <v>13</v>
      </c>
      <c r="E419" t="s">
        <v>14</v>
      </c>
      <c r="F419" t="s">
        <v>31</v>
      </c>
      <c r="G419" t="s">
        <v>14</v>
      </c>
      <c r="H419" s="1">
        <v>46191</v>
      </c>
      <c r="I419" s="1">
        <v>46191</v>
      </c>
      <c r="J419" t="s">
        <v>17</v>
      </c>
      <c r="K419">
        <v>26</v>
      </c>
      <c r="L419" s="2">
        <f t="shared" si="24"/>
        <v>0</v>
      </c>
      <c r="M419" t="str">
        <f t="shared" si="25"/>
        <v>Met</v>
      </c>
      <c r="N419">
        <f t="shared" si="26"/>
        <v>1</v>
      </c>
      <c r="O419" t="str">
        <f t="shared" si="27"/>
        <v>Low</v>
      </c>
    </row>
    <row r="420" spans="1:15" x14ac:dyDescent="0.2">
      <c r="A420" t="s">
        <v>460</v>
      </c>
      <c r="B420" s="1">
        <v>46188</v>
      </c>
      <c r="C420" t="s">
        <v>24</v>
      </c>
      <c r="D420" t="s">
        <v>46</v>
      </c>
      <c r="E420" t="s">
        <v>14</v>
      </c>
      <c r="F420" t="s">
        <v>15</v>
      </c>
      <c r="G420" t="s">
        <v>16</v>
      </c>
      <c r="H420" s="1">
        <v>46189</v>
      </c>
      <c r="I420" s="1">
        <v>46189</v>
      </c>
      <c r="J420" t="s">
        <v>17</v>
      </c>
      <c r="K420">
        <v>14</v>
      </c>
      <c r="L420" s="2">
        <f t="shared" si="24"/>
        <v>0</v>
      </c>
      <c r="M420" t="str">
        <f t="shared" si="25"/>
        <v>Met</v>
      </c>
      <c r="N420">
        <f t="shared" si="26"/>
        <v>1</v>
      </c>
      <c r="O420" t="str">
        <f t="shared" si="27"/>
        <v>Low</v>
      </c>
    </row>
    <row r="421" spans="1:15" x14ac:dyDescent="0.2">
      <c r="A421" t="s">
        <v>461</v>
      </c>
      <c r="B421" s="1">
        <v>46188</v>
      </c>
      <c r="C421" t="s">
        <v>37</v>
      </c>
      <c r="D421" t="s">
        <v>49</v>
      </c>
      <c r="E421" t="s">
        <v>26</v>
      </c>
      <c r="F421" t="s">
        <v>15</v>
      </c>
      <c r="G421" t="s">
        <v>22</v>
      </c>
      <c r="H421" s="1">
        <v>46190</v>
      </c>
      <c r="I421" s="1">
        <v>46190</v>
      </c>
      <c r="J421" t="s">
        <v>17</v>
      </c>
      <c r="K421">
        <v>29</v>
      </c>
      <c r="L421" s="2">
        <f t="shared" si="24"/>
        <v>0</v>
      </c>
      <c r="M421" t="str">
        <f t="shared" si="25"/>
        <v>Met</v>
      </c>
      <c r="N421">
        <f t="shared" si="26"/>
        <v>1</v>
      </c>
      <c r="O421" t="str">
        <f t="shared" si="27"/>
        <v>Low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2AD2-C556-6148-AA65-2EFC9D013842}">
  <dimension ref="A3:C10"/>
  <sheetViews>
    <sheetView workbookViewId="0">
      <selection activeCell="I20" sqref="I20"/>
    </sheetView>
  </sheetViews>
  <sheetFormatPr baseColWidth="10" defaultRowHeight="16" x14ac:dyDescent="0.2"/>
  <cols>
    <col min="1" max="1" width="13" bestFit="1" customWidth="1"/>
    <col min="2" max="2" width="14.1640625" bestFit="1" customWidth="1"/>
    <col min="3" max="3" width="17.33203125" bestFit="1" customWidth="1"/>
  </cols>
  <sheetData>
    <row r="3" spans="1:3" x14ac:dyDescent="0.2">
      <c r="A3" s="3" t="s">
        <v>466</v>
      </c>
      <c r="B3" t="s">
        <v>468</v>
      </c>
      <c r="C3" t="s">
        <v>469</v>
      </c>
    </row>
    <row r="4" spans="1:3" x14ac:dyDescent="0.2">
      <c r="A4" s="4" t="s">
        <v>24</v>
      </c>
      <c r="B4">
        <v>57</v>
      </c>
      <c r="C4" s="5">
        <v>0.83823529411764708</v>
      </c>
    </row>
    <row r="5" spans="1:3" x14ac:dyDescent="0.2">
      <c r="A5" s="4" t="s">
        <v>37</v>
      </c>
      <c r="B5">
        <v>58</v>
      </c>
      <c r="C5" s="5">
        <v>0.8529411764705882</v>
      </c>
    </row>
    <row r="6" spans="1:3" x14ac:dyDescent="0.2">
      <c r="A6" s="4" t="s">
        <v>33</v>
      </c>
      <c r="B6">
        <v>63</v>
      </c>
      <c r="C6" s="5">
        <v>0.9</v>
      </c>
    </row>
    <row r="7" spans="1:3" x14ac:dyDescent="0.2">
      <c r="A7" s="4" t="s">
        <v>12</v>
      </c>
      <c r="B7">
        <v>68</v>
      </c>
      <c r="C7" s="5">
        <v>0.90666666666666662</v>
      </c>
    </row>
    <row r="8" spans="1:3" x14ac:dyDescent="0.2">
      <c r="A8" s="4" t="s">
        <v>19</v>
      </c>
      <c r="B8">
        <v>72</v>
      </c>
      <c r="C8" s="5">
        <v>0.94736842105263153</v>
      </c>
    </row>
    <row r="9" spans="1:3" x14ac:dyDescent="0.2">
      <c r="A9" s="4" t="s">
        <v>48</v>
      </c>
      <c r="B9">
        <v>61</v>
      </c>
      <c r="C9" s="5">
        <v>0.96825396825396826</v>
      </c>
    </row>
    <row r="10" spans="1:3" x14ac:dyDescent="0.2">
      <c r="A10" s="4" t="s">
        <v>467</v>
      </c>
      <c r="B10">
        <v>379</v>
      </c>
      <c r="C10" s="5">
        <v>0.90238095238095239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E24-C852-9144-AEF2-71D7C1092581}">
  <dimension ref="A3:C10"/>
  <sheetViews>
    <sheetView workbookViewId="0">
      <selection activeCell="E44" sqref="E44"/>
    </sheetView>
  </sheetViews>
  <sheetFormatPr baseColWidth="10" defaultRowHeight="16" x14ac:dyDescent="0.2"/>
  <cols>
    <col min="1" max="1" width="14.6640625" bestFit="1" customWidth="1"/>
    <col min="2" max="2" width="17.33203125" bestFit="1" customWidth="1"/>
    <col min="3" max="3" width="15.5" bestFit="1" customWidth="1"/>
  </cols>
  <sheetData>
    <row r="3" spans="1:3" x14ac:dyDescent="0.2">
      <c r="A3" s="3" t="s">
        <v>466</v>
      </c>
      <c r="B3" t="s">
        <v>469</v>
      </c>
      <c r="C3" t="s">
        <v>470</v>
      </c>
    </row>
    <row r="4" spans="1:3" x14ac:dyDescent="0.2">
      <c r="A4" s="4" t="s">
        <v>21</v>
      </c>
      <c r="B4" s="5">
        <v>0.82539682539682535</v>
      </c>
      <c r="C4" s="2">
        <v>63</v>
      </c>
    </row>
    <row r="5" spans="1:3" x14ac:dyDescent="0.2">
      <c r="A5" s="4" t="s">
        <v>29</v>
      </c>
      <c r="B5" s="5">
        <v>0.88311688311688308</v>
      </c>
      <c r="C5" s="2">
        <v>77</v>
      </c>
    </row>
    <row r="6" spans="1:3" x14ac:dyDescent="0.2">
      <c r="A6" s="4" t="s">
        <v>35</v>
      </c>
      <c r="B6" s="5">
        <v>0.90123456790123457</v>
      </c>
      <c r="C6" s="2">
        <v>81</v>
      </c>
    </row>
    <row r="7" spans="1:3" x14ac:dyDescent="0.2">
      <c r="A7" s="4" t="s">
        <v>75</v>
      </c>
      <c r="B7" s="5">
        <v>0.92156862745098034</v>
      </c>
      <c r="C7" s="2">
        <v>51</v>
      </c>
    </row>
    <row r="8" spans="1:3" x14ac:dyDescent="0.2">
      <c r="A8" s="4" t="s">
        <v>31</v>
      </c>
      <c r="B8" s="5">
        <v>0.9375</v>
      </c>
      <c r="C8" s="2">
        <v>80</v>
      </c>
    </row>
    <row r="9" spans="1:3" x14ac:dyDescent="0.2">
      <c r="A9" s="4" t="s">
        <v>15</v>
      </c>
      <c r="B9" s="5">
        <v>0.94117647058823528</v>
      </c>
      <c r="C9" s="2">
        <v>68</v>
      </c>
    </row>
    <row r="10" spans="1:3" x14ac:dyDescent="0.2">
      <c r="A10" s="4" t="s">
        <v>467</v>
      </c>
      <c r="B10" s="5">
        <v>0.90238095238095239</v>
      </c>
      <c r="C10" s="2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0A31-D587-D447-8E95-76C42FDC7929}">
  <dimension ref="A1:D8"/>
  <sheetViews>
    <sheetView workbookViewId="0">
      <selection activeCell="E45" sqref="E45"/>
    </sheetView>
  </sheetViews>
  <sheetFormatPr baseColWidth="10" defaultRowHeight="16" x14ac:dyDescent="0.2"/>
  <cols>
    <col min="1" max="1" width="15.5" bestFit="1" customWidth="1"/>
    <col min="2" max="2" width="16" bestFit="1" customWidth="1"/>
    <col min="3" max="3" width="4" bestFit="1" customWidth="1"/>
    <col min="4" max="4" width="10.5" bestFit="1" customWidth="1"/>
  </cols>
  <sheetData>
    <row r="1" spans="1:4" x14ac:dyDescent="0.2">
      <c r="A1" s="3" t="s">
        <v>463</v>
      </c>
      <c r="B1" t="s">
        <v>475</v>
      </c>
    </row>
    <row r="3" spans="1:4" x14ac:dyDescent="0.2">
      <c r="A3" s="3" t="s">
        <v>470</v>
      </c>
      <c r="B3" s="3" t="s">
        <v>474</v>
      </c>
    </row>
    <row r="4" spans="1:4" x14ac:dyDescent="0.2">
      <c r="A4" s="3" t="s">
        <v>466</v>
      </c>
      <c r="B4" t="s">
        <v>14</v>
      </c>
      <c r="C4" t="s">
        <v>26</v>
      </c>
      <c r="D4" t="s">
        <v>467</v>
      </c>
    </row>
    <row r="5" spans="1:4" x14ac:dyDescent="0.2">
      <c r="A5" s="4" t="s">
        <v>471</v>
      </c>
      <c r="B5" s="2">
        <v>11</v>
      </c>
      <c r="C5" s="2">
        <v>4</v>
      </c>
      <c r="D5" s="2">
        <v>15</v>
      </c>
    </row>
    <row r="6" spans="1:4" x14ac:dyDescent="0.2">
      <c r="A6" s="4" t="s">
        <v>472</v>
      </c>
      <c r="B6" s="2">
        <v>6</v>
      </c>
      <c r="C6" s="2">
        <v>9</v>
      </c>
      <c r="D6" s="2">
        <v>15</v>
      </c>
    </row>
    <row r="7" spans="1:4" x14ac:dyDescent="0.2">
      <c r="A7" s="4" t="s">
        <v>473</v>
      </c>
      <c r="B7" s="2">
        <v>4</v>
      </c>
      <c r="C7" s="2">
        <v>7</v>
      </c>
      <c r="D7" s="2">
        <v>11</v>
      </c>
    </row>
    <row r="8" spans="1:4" x14ac:dyDescent="0.2">
      <c r="A8" s="4" t="s">
        <v>467</v>
      </c>
      <c r="B8" s="2">
        <v>21</v>
      </c>
      <c r="C8" s="2">
        <v>20</v>
      </c>
      <c r="D8" s="2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2A3E-787E-8141-88C2-028C2EC5419A}">
  <dimension ref="A1:D38"/>
  <sheetViews>
    <sheetView workbookViewId="0">
      <selection activeCell="K28" sqref="K28"/>
    </sheetView>
  </sheetViews>
  <sheetFormatPr baseColWidth="10" defaultRowHeight="16" x14ac:dyDescent="0.2"/>
  <cols>
    <col min="1" max="1" width="16.1640625" customWidth="1"/>
    <col min="2" max="2" width="15.6640625" customWidth="1"/>
    <col min="3" max="3" width="12.6640625" customWidth="1"/>
    <col min="4" max="4" width="21.33203125" customWidth="1"/>
  </cols>
  <sheetData>
    <row r="1" spans="1:4" x14ac:dyDescent="0.2">
      <c r="A1" s="6" t="s">
        <v>479</v>
      </c>
      <c r="B1" s="7" t="s">
        <v>477</v>
      </c>
      <c r="C1" s="7" t="s">
        <v>478</v>
      </c>
      <c r="D1" s="8" t="s">
        <v>476</v>
      </c>
    </row>
    <row r="2" spans="1:4" ht="17" thickBot="1" x14ac:dyDescent="0.25">
      <c r="A2" s="9">
        <f>AVERAGE(tblShipments[Met Flag])</f>
        <v>0.90238095238095239</v>
      </c>
      <c r="B2" s="10">
        <f>COUNTA(tblShipments[Shipment ID])</f>
        <v>420</v>
      </c>
      <c r="C2" s="10">
        <f>COUNTIFS(tblShipments[Customer Type],"VIP",tblShipments[On-Time?],"Breached")</f>
        <v>20</v>
      </c>
      <c r="D2" s="11" t="s">
        <v>481</v>
      </c>
    </row>
    <row r="3" spans="1:4" ht="17" thickBot="1" x14ac:dyDescent="0.25"/>
    <row r="4" spans="1:4" x14ac:dyDescent="0.2">
      <c r="A4" s="12" t="s">
        <v>2</v>
      </c>
      <c r="B4" s="13" t="s">
        <v>480</v>
      </c>
    </row>
    <row r="5" spans="1:4" x14ac:dyDescent="0.2">
      <c r="A5" s="14" t="s">
        <v>19</v>
      </c>
      <c r="B5" s="15">
        <v>0.95</v>
      </c>
    </row>
    <row r="6" spans="1:4" x14ac:dyDescent="0.2">
      <c r="A6" s="14" t="s">
        <v>12</v>
      </c>
      <c r="B6" s="15">
        <v>0.91</v>
      </c>
    </row>
    <row r="7" spans="1:4" x14ac:dyDescent="0.2">
      <c r="A7" s="14" t="s">
        <v>33</v>
      </c>
      <c r="B7" s="15">
        <v>0.9</v>
      </c>
    </row>
    <row r="8" spans="1:4" x14ac:dyDescent="0.2">
      <c r="A8" s="14" t="s">
        <v>48</v>
      </c>
      <c r="B8" s="15">
        <v>0.97</v>
      </c>
    </row>
    <row r="9" spans="1:4" x14ac:dyDescent="0.2">
      <c r="A9" s="14" t="s">
        <v>37</v>
      </c>
      <c r="B9" s="15">
        <v>0.85</v>
      </c>
    </row>
    <row r="10" spans="1:4" ht="17" thickBot="1" x14ac:dyDescent="0.25">
      <c r="A10" s="16" t="s">
        <v>24</v>
      </c>
      <c r="B10" s="17">
        <v>0.84</v>
      </c>
    </row>
    <row r="28" spans="1:3" ht="22" x14ac:dyDescent="0.3">
      <c r="A28" s="18"/>
    </row>
    <row r="29" spans="1:3" ht="16" customHeight="1" x14ac:dyDescent="0.2">
      <c r="A29" s="19"/>
      <c r="B29" s="19"/>
      <c r="C29" s="19"/>
    </row>
    <row r="30" spans="1:3" x14ac:dyDescent="0.2">
      <c r="A30" s="19"/>
      <c r="B30" s="19"/>
      <c r="C30" s="19"/>
    </row>
    <row r="31" spans="1:3" x14ac:dyDescent="0.2">
      <c r="A31" s="19"/>
      <c r="B31" s="19"/>
      <c r="C31" s="19"/>
    </row>
    <row r="32" spans="1:3" x14ac:dyDescent="0.2">
      <c r="A32" s="19"/>
      <c r="B32" s="19"/>
      <c r="C32" s="19"/>
    </row>
    <row r="33" spans="1:3" x14ac:dyDescent="0.2">
      <c r="A33" s="19"/>
      <c r="B33" s="19"/>
      <c r="C33" s="19"/>
    </row>
    <row r="34" spans="1:3" x14ac:dyDescent="0.2">
      <c r="A34" s="19"/>
      <c r="B34" s="19"/>
      <c r="C34" s="19"/>
    </row>
    <row r="35" spans="1:3" x14ac:dyDescent="0.2">
      <c r="A35" s="19"/>
      <c r="B35" s="19"/>
      <c r="C35" s="19"/>
    </row>
    <row r="36" spans="1:3" x14ac:dyDescent="0.2">
      <c r="A36" s="19"/>
      <c r="B36" s="19"/>
      <c r="C36" s="19"/>
    </row>
    <row r="37" spans="1:3" x14ac:dyDescent="0.2">
      <c r="A37" s="19"/>
      <c r="B37" s="19"/>
      <c r="C37" s="19"/>
    </row>
    <row r="38" spans="1:3" x14ac:dyDescent="0.2">
      <c r="A38" s="19"/>
      <c r="B38" s="19"/>
      <c r="C38" s="19"/>
    </row>
  </sheetData>
  <conditionalFormatting sqref="B5:B10">
    <cfRule type="colorScale" priority="1">
      <colorScale>
        <cfvo type="percent" val="0"/>
        <cfvo type="percent" val="50"/>
        <cfvo type="percent" val="100"/>
        <color rgb="FFFF0000"/>
        <color rgb="FFFFFF00"/>
        <color rgb="FF00B05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Hub_SLA_Data</vt:lpstr>
      <vt:lpstr>Pivot_SLA_Hub</vt:lpstr>
      <vt:lpstr>Pivot_Carrier_Breaches</vt:lpstr>
      <vt:lpstr>Pivot_VIP_Trend</vt:lpstr>
      <vt:lpstr>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Rajaraman</dc:creator>
  <cp:lastModifiedBy>Nanda Rajaraman</cp:lastModifiedBy>
  <dcterms:created xsi:type="dcterms:W3CDTF">2026-06-17T17:27:46Z</dcterms:created>
  <dcterms:modified xsi:type="dcterms:W3CDTF">2026-06-18T17:20:30Z</dcterms:modified>
</cp:coreProperties>
</file>